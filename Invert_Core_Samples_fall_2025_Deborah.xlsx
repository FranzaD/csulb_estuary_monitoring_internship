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488124.CAMPUS-DOMAIN\Downloads\"/>
    </mc:Choice>
  </mc:AlternateContent>
  <xr:revisionPtr revIDLastSave="0" documentId="13_ncr:1_{81D5B594-07FB-4EBB-AD86-1D4562D6178D}" xr6:coauthVersionLast="47" xr6:coauthVersionMax="47" xr10:uidLastSave="{00000000-0000-0000-0000-000000000000}"/>
  <bookViews>
    <workbookView xWindow="-120" yWindow="-120" windowWidth="21840" windowHeight="13020" xr2:uid="{CC5B1F45-5237-4F41-9860-D6392839C0C3}"/>
  </bookViews>
  <sheets>
    <sheet name="Data" sheetId="1" r:id="rId1"/>
    <sheet name="Primer" sheetId="2" r:id="rId2"/>
    <sheet name="Primer_Abund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6" i="1" l="1"/>
  <c r="I117" i="1"/>
  <c r="I116" i="1"/>
  <c r="I115" i="1"/>
  <c r="H117" i="1"/>
  <c r="H116" i="1"/>
  <c r="H115" i="1"/>
  <c r="I86" i="1"/>
  <c r="J86" i="1" s="1"/>
  <c r="K100" i="1"/>
  <c r="K99" i="1"/>
  <c r="K98" i="1"/>
  <c r="K97" i="1"/>
  <c r="K96" i="1"/>
  <c r="K95" i="1"/>
  <c r="J96" i="1"/>
  <c r="J97" i="1"/>
  <c r="I100" i="1"/>
  <c r="J100" i="1" s="1"/>
  <c r="I99" i="1"/>
  <c r="J99" i="1" s="1"/>
  <c r="I98" i="1"/>
  <c r="J98" i="1" s="1"/>
  <c r="I97" i="1"/>
  <c r="I96" i="1"/>
  <c r="I95" i="1"/>
  <c r="J95" i="1" s="1"/>
  <c r="K87" i="1"/>
  <c r="K86" i="1"/>
  <c r="K85" i="1"/>
  <c r="K84" i="1"/>
  <c r="K83" i="1"/>
  <c r="K82" i="1"/>
  <c r="J84" i="1"/>
  <c r="I87" i="1"/>
  <c r="J87" i="1" s="1"/>
  <c r="I85" i="1"/>
  <c r="J85" i="1" s="1"/>
  <c r="I84" i="1"/>
  <c r="I83" i="1"/>
  <c r="J83" i="1" s="1"/>
  <c r="I82" i="1"/>
  <c r="J82" i="1" s="1"/>
  <c r="AP77" i="1"/>
  <c r="AQ77" i="1"/>
  <c r="AR77" i="1"/>
  <c r="AS77" i="1"/>
  <c r="AT77" i="1"/>
  <c r="AU77" i="1"/>
  <c r="AV77" i="1"/>
  <c r="AW77" i="1"/>
  <c r="AP76" i="1"/>
  <c r="AQ76" i="1"/>
  <c r="AR76" i="1"/>
  <c r="AS76" i="1"/>
  <c r="AT76" i="1"/>
  <c r="AU76" i="1"/>
  <c r="AV76" i="1"/>
  <c r="AW76" i="1"/>
  <c r="AN77" i="1"/>
  <c r="AO77" i="1"/>
  <c r="AN76" i="1"/>
  <c r="AO76" i="1"/>
  <c r="AJ77" i="1"/>
  <c r="AK77" i="1"/>
  <c r="AL77" i="1"/>
  <c r="AM77" i="1"/>
  <c r="AJ76" i="1"/>
  <c r="AK76" i="1"/>
  <c r="AL76" i="1"/>
  <c r="AM76" i="1"/>
  <c r="AH77" i="1"/>
  <c r="AI77" i="1"/>
  <c r="AH76" i="1"/>
  <c r="AI76" i="1"/>
  <c r="AF77" i="1"/>
  <c r="AG77" i="1"/>
  <c r="AF76" i="1"/>
  <c r="AG76" i="1"/>
  <c r="AD77" i="1"/>
  <c r="AE77" i="1"/>
  <c r="AD76" i="1"/>
  <c r="AE76" i="1"/>
  <c r="AB77" i="1"/>
  <c r="AC77" i="1"/>
  <c r="AB76" i="1"/>
  <c r="AC76" i="1"/>
  <c r="Z77" i="1"/>
  <c r="AA77" i="1"/>
  <c r="Z76" i="1"/>
  <c r="AA76" i="1"/>
  <c r="Y77" i="1"/>
  <c r="X77" i="1"/>
  <c r="Y76" i="1"/>
  <c r="X76" i="1"/>
  <c r="W76" i="1"/>
  <c r="U77" i="1"/>
  <c r="V77" i="1"/>
  <c r="W77" i="1"/>
  <c r="U76" i="1"/>
  <c r="V76" i="1"/>
  <c r="T77" i="1"/>
  <c r="T76" i="1"/>
  <c r="S77" i="1"/>
  <c r="R77" i="1"/>
  <c r="S76" i="1"/>
  <c r="R76" i="1"/>
  <c r="P77" i="1"/>
  <c r="Q77" i="1"/>
  <c r="P76" i="1"/>
  <c r="Q76" i="1"/>
  <c r="N77" i="1"/>
  <c r="O77" i="1"/>
  <c r="N76" i="1"/>
  <c r="O76" i="1"/>
  <c r="L77" i="1"/>
  <c r="M77" i="1"/>
  <c r="L76" i="1"/>
  <c r="M76" i="1"/>
  <c r="J77" i="1"/>
  <c r="K77" i="1"/>
  <c r="J76" i="1"/>
  <c r="K76" i="1"/>
  <c r="H77" i="1"/>
  <c r="I77" i="1"/>
  <c r="H76" i="1"/>
  <c r="I76" i="1"/>
  <c r="F77" i="1"/>
  <c r="G77" i="1"/>
  <c r="F76" i="1"/>
  <c r="E77" i="1"/>
  <c r="E76" i="1"/>
  <c r="D77" i="1"/>
  <c r="D76" i="1"/>
  <c r="C77" i="1"/>
  <c r="C76" i="1"/>
  <c r="B77" i="1"/>
  <c r="B76" i="1"/>
</calcChain>
</file>

<file path=xl/sharedStrings.xml><?xml version="1.0" encoding="utf-8"?>
<sst xmlns="http://schemas.openxmlformats.org/spreadsheetml/2006/main" count="653" uniqueCount="168">
  <si>
    <t>Species</t>
  </si>
  <si>
    <t>Oligochaete</t>
  </si>
  <si>
    <t>Enchytraeidae</t>
  </si>
  <si>
    <t>Capitellidae</t>
  </si>
  <si>
    <t>Capitellidae Square Tail</t>
  </si>
  <si>
    <t>Capitellidae Open Tail</t>
  </si>
  <si>
    <t>Capitellidae long setae</t>
  </si>
  <si>
    <t>Capitellidae large</t>
  </si>
  <si>
    <t>Gastropod</t>
  </si>
  <si>
    <t>Chironomidae Larvae</t>
  </si>
  <si>
    <t>Chironomidae Tail Larvae</t>
  </si>
  <si>
    <t>Chironimidae Pupae</t>
  </si>
  <si>
    <t>Ceretopogonidae Larvae</t>
  </si>
  <si>
    <t>Dolichopodidae Larvae</t>
  </si>
  <si>
    <t>Diptera Larvae fat</t>
  </si>
  <si>
    <t>Phychodidae Larvae</t>
  </si>
  <si>
    <t>Tipulidae Larvae</t>
  </si>
  <si>
    <t>Poduridae</t>
  </si>
  <si>
    <t>Isotomidae</t>
  </si>
  <si>
    <t>Sminthuridae</t>
  </si>
  <si>
    <t>Empididae Larvae</t>
  </si>
  <si>
    <t>Holospia hespera Larvae</t>
  </si>
  <si>
    <t>Molophilus hitripennis Larvae</t>
  </si>
  <si>
    <t>mite orab.</t>
  </si>
  <si>
    <t>Flatworm</t>
  </si>
  <si>
    <t>Armadillidium vulgare</t>
  </si>
  <si>
    <t>Grandidierella japonica</t>
  </si>
  <si>
    <t>Hypogastruridae</t>
  </si>
  <si>
    <t>Ephydridae Larvae</t>
  </si>
  <si>
    <t>Diptera Larvae</t>
  </si>
  <si>
    <t>Muscidae Larvae</t>
  </si>
  <si>
    <t>Entomobryidae</t>
  </si>
  <si>
    <t>leaf hopper clear short wings nymph</t>
  </si>
  <si>
    <t>Carabidae Beetle</t>
  </si>
  <si>
    <t xml:space="preserve">Julida </t>
  </si>
  <si>
    <t>Araneidae</t>
  </si>
  <si>
    <t>IRPS</t>
  </si>
  <si>
    <t>NonIRPS</t>
  </si>
  <si>
    <t>Freshwater</t>
  </si>
  <si>
    <t>1 - IRPS</t>
  </si>
  <si>
    <t>1 - NonIRPS</t>
  </si>
  <si>
    <t>Habitat</t>
  </si>
  <si>
    <t>Plant Type</t>
  </si>
  <si>
    <t>Ormosia meigenii</t>
  </si>
  <si>
    <t xml:space="preserve">Mite terrestrial </t>
  </si>
  <si>
    <t>Mite predatory (Dermanyssidae)</t>
  </si>
  <si>
    <t>Abundance</t>
  </si>
  <si>
    <t>Onychiuridae</t>
  </si>
  <si>
    <t>Yamatotipula Larvae</t>
  </si>
  <si>
    <t>Dolichopodidae Pupae</t>
  </si>
  <si>
    <t>2 - IRPS</t>
  </si>
  <si>
    <t>2 - NonIRPS</t>
  </si>
  <si>
    <t>3 - IRPS</t>
  </si>
  <si>
    <t>3 - NonIRPS</t>
  </si>
  <si>
    <t>Capitellidae Unknow Large</t>
  </si>
  <si>
    <t>Dolichopodideae like larvae "fat"</t>
  </si>
  <si>
    <t>Ugly fat larvae w/teeth</t>
  </si>
  <si>
    <t>4 - IRPS</t>
  </si>
  <si>
    <t>4 - NonIRPS</t>
  </si>
  <si>
    <t>White larvae</t>
  </si>
  <si>
    <t>5 - IRPS</t>
  </si>
  <si>
    <t>5 - NonIRPS</t>
  </si>
  <si>
    <t>Formicidae (Linepithema humile)</t>
  </si>
  <si>
    <t>6 - IRPS</t>
  </si>
  <si>
    <t>6 - NonIRPS</t>
  </si>
  <si>
    <t>Diptera Larve clear</t>
  </si>
  <si>
    <t>7 - IRPS</t>
  </si>
  <si>
    <t>7 - NonIRPS</t>
  </si>
  <si>
    <t>huge fly larvae</t>
  </si>
  <si>
    <t>8 - IRPS</t>
  </si>
  <si>
    <t>8 - NonIRPS</t>
  </si>
  <si>
    <t>Capitellidae Small</t>
  </si>
  <si>
    <t>Brackish</t>
  </si>
  <si>
    <t>Pill Bug Larvae (Nearidae)</t>
  </si>
  <si>
    <t>Unknown Larvae</t>
  </si>
  <si>
    <t>Worm Pupae</t>
  </si>
  <si>
    <t>Fly Larvae</t>
  </si>
  <si>
    <t>Ceretopogonidae Pupae</t>
  </si>
  <si>
    <t>Muscidae Pupae</t>
  </si>
  <si>
    <t>Gammaridae</t>
  </si>
  <si>
    <t>Tenebrionidae</t>
  </si>
  <si>
    <t>Staphylinidae rove Larvae</t>
  </si>
  <si>
    <t>Erioptera pilipes Larvae</t>
  </si>
  <si>
    <t>Sciomyzidae Pupae</t>
  </si>
  <si>
    <t>Unknown Insect</t>
  </si>
  <si>
    <t>Carabidae Larvae</t>
  </si>
  <si>
    <t xml:space="preserve">Leaf Hopper  </t>
  </si>
  <si>
    <t>Marine</t>
  </si>
  <si>
    <t>Mite (Ixodidae)</t>
  </si>
  <si>
    <t>Dytiscidae</t>
  </si>
  <si>
    <t>Cicadellidae</t>
  </si>
  <si>
    <t>Nymphomyiidae Larve</t>
  </si>
  <si>
    <t>Total</t>
  </si>
  <si>
    <t>Average</t>
  </si>
  <si>
    <t>SEM</t>
  </si>
  <si>
    <t>Sample</t>
  </si>
  <si>
    <t>Non-IRPS</t>
  </si>
  <si>
    <t>FW</t>
  </si>
  <si>
    <t>BW</t>
  </si>
  <si>
    <t>MW</t>
  </si>
  <si>
    <t>Station</t>
  </si>
  <si>
    <t>Elevation</t>
  </si>
  <si>
    <t>Tubificidae</t>
  </si>
  <si>
    <t>Exogone Sp.</t>
  </si>
  <si>
    <t>Capitella Sp.</t>
  </si>
  <si>
    <t>Nereididae</t>
  </si>
  <si>
    <t>Fabricia Stellaris</t>
  </si>
  <si>
    <t>Gammaridae a</t>
  </si>
  <si>
    <t>Monocorophium</t>
  </si>
  <si>
    <t>Leptochelia dubia</t>
  </si>
  <si>
    <t>Phoronids</t>
  </si>
  <si>
    <t>UNBS3</t>
  </si>
  <si>
    <t>S3</t>
  </si>
  <si>
    <t>Location</t>
  </si>
  <si>
    <t>UNB</t>
  </si>
  <si>
    <t>MALS1</t>
  </si>
  <si>
    <t>MAL</t>
  </si>
  <si>
    <t>S1</t>
  </si>
  <si>
    <t>MALS3</t>
  </si>
  <si>
    <t>INT</t>
  </si>
  <si>
    <t>SUB</t>
  </si>
  <si>
    <t>Staphylinidae (rove)</t>
  </si>
  <si>
    <t>UNBS2</t>
  </si>
  <si>
    <t>S2</t>
  </si>
  <si>
    <t>Pseudopolydora paucibranchiata</t>
  </si>
  <si>
    <t>Polydora ligni</t>
  </si>
  <si>
    <t>Polydora nuchalis</t>
  </si>
  <si>
    <t>Streblospio benedicti</t>
  </si>
  <si>
    <t>Eteone sp</t>
  </si>
  <si>
    <t>Dolichopodidae</t>
  </si>
  <si>
    <t>Sea Anenome</t>
  </si>
  <si>
    <t>Flatworms</t>
  </si>
  <si>
    <t>UNBS1</t>
  </si>
  <si>
    <t>Brania Sp</t>
  </si>
  <si>
    <t>Orbiniidae</t>
  </si>
  <si>
    <t>Caprellids</t>
  </si>
  <si>
    <t>Assiminea californica</t>
  </si>
  <si>
    <t>UNBS4</t>
  </si>
  <si>
    <t>S4</t>
  </si>
  <si>
    <t>Acteocina Sp</t>
  </si>
  <si>
    <t>BOLS1</t>
  </si>
  <si>
    <t>BOL</t>
  </si>
  <si>
    <t>GOLS1</t>
  </si>
  <si>
    <t>GOL</t>
  </si>
  <si>
    <t>BOLS3</t>
  </si>
  <si>
    <t>A. lindahli</t>
  </si>
  <si>
    <t>white mite</t>
  </si>
  <si>
    <t>brown mite</t>
  </si>
  <si>
    <t>MALS2</t>
  </si>
  <si>
    <t>VENS1</t>
  </si>
  <si>
    <t>VEN</t>
  </si>
  <si>
    <t>Chrysopidae larva</t>
  </si>
  <si>
    <t>GOLS2</t>
  </si>
  <si>
    <t>BCS3</t>
  </si>
  <si>
    <t>BC</t>
  </si>
  <si>
    <t>Acentrogobius nebulosus</t>
  </si>
  <si>
    <t>BCS2</t>
  </si>
  <si>
    <t>GOLS3</t>
  </si>
  <si>
    <t>Exogone lourei</t>
  </si>
  <si>
    <t>SBNWR</t>
  </si>
  <si>
    <t>SBNWRS1</t>
  </si>
  <si>
    <t>Mediomastus acutus</t>
  </si>
  <si>
    <t>Eunicidae</t>
  </si>
  <si>
    <t>SBNWRS2</t>
  </si>
  <si>
    <t>BCS1</t>
  </si>
  <si>
    <t>Mediomastus</t>
  </si>
  <si>
    <t>Tharyx sp.</t>
  </si>
  <si>
    <t>Oribatida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</si>
</sst>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1" fillId="0" borderId="2" xfId="0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Data!$J$81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Data!$K$82:$K$87</c:f>
                <c:numCache>
                  <c:formatCode>General</c:formatCode>
                  <c:ptCount val="6"/>
                  <c:pt idx="0">
                    <c:v>41.15885493166342</c:v>
                  </c:pt>
                  <c:pt idx="1">
                    <c:v>26.785357140476158</c:v>
                  </c:pt>
                  <c:pt idx="2">
                    <c:v>13.412996762202587</c:v>
                  </c:pt>
                  <c:pt idx="3">
                    <c:v>16.60135267724548</c:v>
                  </c:pt>
                  <c:pt idx="4">
                    <c:v>1.5352989471574767</c:v>
                  </c:pt>
                  <c:pt idx="5">
                    <c:v>1.0596074070819139</c:v>
                  </c:pt>
                </c:numCache>
              </c:numRef>
            </c:plus>
            <c:minus>
              <c:numRef>
                <c:f>Data!$K$82:$K$87</c:f>
                <c:numCache>
                  <c:formatCode>General</c:formatCode>
                  <c:ptCount val="6"/>
                  <c:pt idx="0">
                    <c:v>41.15885493166342</c:v>
                  </c:pt>
                  <c:pt idx="1">
                    <c:v>26.785357140476158</c:v>
                  </c:pt>
                  <c:pt idx="2">
                    <c:v>13.412996762202587</c:v>
                  </c:pt>
                  <c:pt idx="3">
                    <c:v>16.60135267724548</c:v>
                  </c:pt>
                  <c:pt idx="4">
                    <c:v>1.5352989471574767</c:v>
                  </c:pt>
                  <c:pt idx="5">
                    <c:v>1.0596074070819139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Data!$G$82:$H$87</c:f>
              <c:multiLvlStrCache>
                <c:ptCount val="6"/>
                <c:lvl>
                  <c:pt idx="0">
                    <c:v>IRPS</c:v>
                  </c:pt>
                  <c:pt idx="1">
                    <c:v>Non-IRPS</c:v>
                  </c:pt>
                  <c:pt idx="2">
                    <c:v>IRPS</c:v>
                  </c:pt>
                  <c:pt idx="3">
                    <c:v>Non-IRPS</c:v>
                  </c:pt>
                  <c:pt idx="4">
                    <c:v>IRPS</c:v>
                  </c:pt>
                  <c:pt idx="5">
                    <c:v>Non-IRPS</c:v>
                  </c:pt>
                </c:lvl>
                <c:lvl>
                  <c:pt idx="0">
                    <c:v>FW</c:v>
                  </c:pt>
                  <c:pt idx="1">
                    <c:v>FW</c:v>
                  </c:pt>
                  <c:pt idx="2">
                    <c:v>BW</c:v>
                  </c:pt>
                  <c:pt idx="3">
                    <c:v>BW</c:v>
                  </c:pt>
                  <c:pt idx="4">
                    <c:v>MW</c:v>
                  </c:pt>
                  <c:pt idx="5">
                    <c:v>MW</c:v>
                  </c:pt>
                </c:lvl>
              </c:multiLvlStrCache>
            </c:multiLvlStrRef>
          </c:cat>
          <c:val>
            <c:numRef>
              <c:f>Data!$J$82:$J$87</c:f>
              <c:numCache>
                <c:formatCode>General</c:formatCode>
                <c:ptCount val="6"/>
                <c:pt idx="0">
                  <c:v>93.875</c:v>
                </c:pt>
                <c:pt idx="1">
                  <c:v>78.75</c:v>
                </c:pt>
                <c:pt idx="2">
                  <c:v>45.875</c:v>
                </c:pt>
                <c:pt idx="3">
                  <c:v>50.375</c:v>
                </c:pt>
                <c:pt idx="4">
                  <c:v>5</c:v>
                </c:pt>
                <c:pt idx="5">
                  <c:v>6.125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5-48D9-8F6C-1B9925039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63967"/>
        <c:axId val="114064383"/>
      </c:barChart>
      <c:catAx>
        <c:axId val="11406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4383"/>
        <c:crosses val="autoZero"/>
        <c:auto val="1"/>
        <c:lblAlgn val="ctr"/>
        <c:lblOffset val="100"/>
        <c:noMultiLvlLbl val="0"/>
      </c:catAx>
      <c:valAx>
        <c:axId val="11406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  <a:r>
                  <a:rPr lang="en-US" baseline="0"/>
                  <a:t> S</a:t>
                </a:r>
                <a:r>
                  <a:rPr lang="en-US"/>
                  <a:t>ediment Core (#/18.1 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7067262146433888E-2"/>
              <c:y val="2.45183044315992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Data!$J$94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Data!$K$95:$K$100</c:f>
                <c:numCache>
                  <c:formatCode>General</c:formatCode>
                  <c:ptCount val="6"/>
                  <c:pt idx="0">
                    <c:v>1.1792476415070754</c:v>
                  </c:pt>
                  <c:pt idx="1">
                    <c:v>1.2878206951501994</c:v>
                  </c:pt>
                  <c:pt idx="2">
                    <c:v>0.76619421260446197</c:v>
                  </c:pt>
                  <c:pt idx="3">
                    <c:v>1.4236522448567677</c:v>
                  </c:pt>
                  <c:pt idx="4">
                    <c:v>0.70076488822673511</c:v>
                  </c:pt>
                  <c:pt idx="5">
                    <c:v>0.45316348358748282</c:v>
                  </c:pt>
                </c:numCache>
              </c:numRef>
            </c:plus>
            <c:minus>
              <c:numRef>
                <c:f>Data!$K$95:$K$100</c:f>
                <c:numCache>
                  <c:formatCode>General</c:formatCode>
                  <c:ptCount val="6"/>
                  <c:pt idx="0">
                    <c:v>1.1792476415070754</c:v>
                  </c:pt>
                  <c:pt idx="1">
                    <c:v>1.2878206951501994</c:v>
                  </c:pt>
                  <c:pt idx="2">
                    <c:v>0.76619421260446197</c:v>
                  </c:pt>
                  <c:pt idx="3">
                    <c:v>1.4236522448567677</c:v>
                  </c:pt>
                  <c:pt idx="4">
                    <c:v>0.70076488822673511</c:v>
                  </c:pt>
                  <c:pt idx="5">
                    <c:v>0.45316348358748282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Data!$G$95:$H$100</c:f>
              <c:multiLvlStrCache>
                <c:ptCount val="6"/>
                <c:lvl>
                  <c:pt idx="0">
                    <c:v>IRPS</c:v>
                  </c:pt>
                  <c:pt idx="1">
                    <c:v>NonIRPS</c:v>
                  </c:pt>
                  <c:pt idx="2">
                    <c:v>IRPS</c:v>
                  </c:pt>
                  <c:pt idx="3">
                    <c:v>NonIRPS</c:v>
                  </c:pt>
                  <c:pt idx="4">
                    <c:v>IRPS</c:v>
                  </c:pt>
                  <c:pt idx="5">
                    <c:v>NonIRPS</c:v>
                  </c:pt>
                </c:lvl>
                <c:lvl>
                  <c:pt idx="0">
                    <c:v>Freshwater</c:v>
                  </c:pt>
                  <c:pt idx="1">
                    <c:v>Freshwater</c:v>
                  </c:pt>
                  <c:pt idx="2">
                    <c:v>Brackish</c:v>
                  </c:pt>
                  <c:pt idx="3">
                    <c:v>Brackish</c:v>
                  </c:pt>
                  <c:pt idx="4">
                    <c:v>Marine</c:v>
                  </c:pt>
                  <c:pt idx="5">
                    <c:v>Marine</c:v>
                  </c:pt>
                </c:lvl>
              </c:multiLvlStrCache>
            </c:multiLvlStrRef>
          </c:cat>
          <c:val>
            <c:numRef>
              <c:f>Data!$J$95:$J$100</c:f>
              <c:numCache>
                <c:formatCode>General</c:formatCode>
                <c:ptCount val="6"/>
                <c:pt idx="0">
                  <c:v>6.625</c:v>
                </c:pt>
                <c:pt idx="1">
                  <c:v>6.875</c:v>
                </c:pt>
                <c:pt idx="2">
                  <c:v>5.125</c:v>
                </c:pt>
                <c:pt idx="3">
                  <c:v>8.25</c:v>
                </c:pt>
                <c:pt idx="4">
                  <c:v>3.25</c:v>
                </c:pt>
                <c:pt idx="5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B-4A04-8A55-8628E10FD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88799"/>
        <c:axId val="114904607"/>
      </c:barChart>
      <c:catAx>
        <c:axId val="11488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04607"/>
        <c:crosses val="autoZero"/>
        <c:auto val="1"/>
        <c:lblAlgn val="ctr"/>
        <c:lblOffset val="100"/>
        <c:noMultiLvlLbl val="0"/>
      </c:catAx>
      <c:valAx>
        <c:axId val="1149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Data!$H$114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Data!$I$115:$I$117</c:f>
                <c:numCache>
                  <c:formatCode>General</c:formatCode>
                  <c:ptCount val="3"/>
                  <c:pt idx="0">
                    <c:v>23.801211234935082</c:v>
                  </c:pt>
                  <c:pt idx="1">
                    <c:v>10.325887774585453</c:v>
                  </c:pt>
                  <c:pt idx="2">
                    <c:v>0.91272828194740774</c:v>
                  </c:pt>
                </c:numCache>
              </c:numRef>
            </c:plus>
            <c:minus>
              <c:numRef>
                <c:f>Data!$I$115:$I$117</c:f>
                <c:numCache>
                  <c:formatCode>General</c:formatCode>
                  <c:ptCount val="3"/>
                  <c:pt idx="0">
                    <c:v>23.801211234935082</c:v>
                  </c:pt>
                  <c:pt idx="1">
                    <c:v>10.325887774585453</c:v>
                  </c:pt>
                  <c:pt idx="2">
                    <c:v>0.91272828194740774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Data!$G$115:$G$117</c:f>
              <c:strCache>
                <c:ptCount val="3"/>
                <c:pt idx="0">
                  <c:v>FW</c:v>
                </c:pt>
                <c:pt idx="1">
                  <c:v>BW</c:v>
                </c:pt>
                <c:pt idx="2">
                  <c:v>MW</c:v>
                </c:pt>
              </c:strCache>
            </c:strRef>
          </c:cat>
          <c:val>
            <c:numRef>
              <c:f>Data!$H$115:$H$117</c:f>
              <c:numCache>
                <c:formatCode>General</c:formatCode>
                <c:ptCount val="3"/>
                <c:pt idx="0">
                  <c:v>86.3125</c:v>
                </c:pt>
                <c:pt idx="1">
                  <c:v>48.125</c:v>
                </c:pt>
                <c:pt idx="2">
                  <c:v>5.5625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2-4477-9BBD-163B91BFF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778559"/>
        <c:axId val="887086031"/>
      </c:barChart>
      <c:catAx>
        <c:axId val="88677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86031"/>
        <c:crosses val="autoZero"/>
        <c:auto val="1"/>
        <c:lblAlgn val="ctr"/>
        <c:lblOffset val="100"/>
        <c:noMultiLvlLbl val="0"/>
      </c:catAx>
      <c:valAx>
        <c:axId val="8870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Abundance Sediment Core (#/18.1 cm</a:t>
                </a:r>
                <a:r>
                  <a:rPr lang="en-US" sz="1000" b="0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5.258493729950423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7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382905</xdr:colOff>
      <xdr:row>78</xdr:row>
      <xdr:rowOff>40957</xdr:rowOff>
    </xdr:from>
    <xdr:to>
      <xdr:col>20</xdr:col>
      <xdr:colOff>137160</xdr:colOff>
      <xdr:row>92</xdr:row>
      <xdr:rowOff>117157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A3E941-20E5-4D52-A66A-B46119717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295275</xdr:colOff>
      <xdr:row>94</xdr:row>
      <xdr:rowOff>33337</xdr:rowOff>
    </xdr:from>
    <xdr:to>
      <xdr:col>17</xdr:col>
      <xdr:colOff>438150</xdr:colOff>
      <xdr:row>108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7D7C1-EBD7-449B-8725-DEE3B123C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563880</xdr:colOff>
      <xdr:row>112</xdr:row>
      <xdr:rowOff>140970</xdr:rowOff>
    </xdr:from>
    <xdr:to>
      <xdr:col>15</xdr:col>
      <xdr:colOff>586740</xdr:colOff>
      <xdr:row>127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A1D88A-3FCB-A2FE-6B02-A0146989B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7446-AC0E-4CF9-B3DF-6897D0F8BD3D}">
  <dimension ref="A1:AW129"/>
  <sheetViews>
    <sheetView tabSelected="1" workbookViewId="0">
      <pane xSplit="1" ySplit="5" topLeftCell="N24" activePane="bottomRight" state="frozen"/>
      <selection pane="topRight" activeCell="B1" sqref="B1"/>
      <selection pane="bottomLeft" activeCell="A5" sqref="A5"/>
      <selection pane="bottomRight" activeCell="R33" sqref="R33"/>
    </sheetView>
  </sheetViews>
  <sheetFormatPr defaultRowHeight="15" x14ac:dyDescent="0.25"/>
  <cols>
    <col min="1" max="1" width="34" bestFit="1" customWidth="1"/>
    <col min="2" max="2" width="11" bestFit="1" customWidth="1"/>
    <col min="3" max="3" width="11.140625" bestFit="1" customWidth="1"/>
    <col min="4" max="4" width="11" bestFit="1" customWidth="1"/>
    <col min="5" max="5" width="11.140625" bestFit="1" customWidth="1"/>
    <col min="6" max="6" width="11" bestFit="1" customWidth="1"/>
    <col min="7" max="7" width="11.140625" bestFit="1" customWidth="1"/>
    <col min="8" max="8" width="11" bestFit="1" customWidth="1"/>
    <col min="9" max="9" width="11.140625" bestFit="1" customWidth="1"/>
    <col min="10" max="10" width="11" bestFit="1" customWidth="1"/>
    <col min="11" max="11" width="11.140625" bestFit="1" customWidth="1"/>
    <col min="12" max="12" width="11" bestFit="1" customWidth="1"/>
    <col min="13" max="13" width="11.140625" bestFit="1" customWidth="1"/>
    <col min="14" max="14" width="11" bestFit="1" customWidth="1"/>
    <col min="15" max="15" width="11.140625" bestFit="1" customWidth="1"/>
    <col min="16" max="16" width="11" bestFit="1" customWidth="1"/>
    <col min="17" max="17" width="11.140625" bestFit="1" customWidth="1"/>
    <col min="18" max="18" width="8.28515625" bestFit="1" customWidth="1"/>
    <col min="19" max="19" width="11.140625" bestFit="1" customWidth="1"/>
    <col min="20" max="20" width="8.28515625" bestFit="1" customWidth="1"/>
    <col min="21" max="21" width="11.140625" bestFit="1" customWidth="1"/>
    <col min="22" max="22" width="8.28515625" customWidth="1"/>
    <col min="23" max="23" width="11.140625" bestFit="1" customWidth="1"/>
    <col min="24" max="24" width="8.28515625" bestFit="1" customWidth="1"/>
    <col min="25" max="25" width="11.140625" bestFit="1" customWidth="1"/>
    <col min="26" max="26" width="8.28515625" bestFit="1" customWidth="1"/>
    <col min="27" max="27" width="11.140625" bestFit="1" customWidth="1"/>
    <col min="28" max="28" width="8.28515625" bestFit="1" customWidth="1"/>
    <col min="29" max="29" width="11.140625" bestFit="1" customWidth="1"/>
    <col min="30" max="30" width="8.28515625" bestFit="1" customWidth="1"/>
    <col min="31" max="31" width="11.140625" bestFit="1" customWidth="1"/>
    <col min="32" max="32" width="8.28515625" bestFit="1" customWidth="1"/>
    <col min="33" max="33" width="11.140625" bestFit="1" customWidth="1"/>
    <col min="34" max="34" width="7.42578125" bestFit="1" customWidth="1"/>
    <col min="35" max="35" width="11.140625" customWidth="1"/>
    <col min="36" max="36" width="7.42578125" bestFit="1" customWidth="1"/>
    <col min="37" max="37" width="11.140625" customWidth="1"/>
    <col min="38" max="38" width="7.42578125" bestFit="1" customWidth="1"/>
    <col min="39" max="39" width="11.140625" customWidth="1"/>
    <col min="40" max="40" width="7.42578125" bestFit="1" customWidth="1"/>
    <col min="41" max="41" width="11.140625" bestFit="1" customWidth="1"/>
    <col min="42" max="42" width="7.42578125" bestFit="1" customWidth="1"/>
    <col min="43" max="43" width="11.140625" bestFit="1" customWidth="1"/>
    <col min="44" max="44" width="7.42578125" bestFit="1" customWidth="1"/>
    <col min="45" max="45" width="11.140625" bestFit="1" customWidth="1"/>
    <col min="46" max="46" width="7.42578125" bestFit="1" customWidth="1"/>
    <col min="47" max="47" width="11.140625" bestFit="1" customWidth="1"/>
    <col min="48" max="48" width="7.42578125" bestFit="1" customWidth="1"/>
    <col min="49" max="49" width="11.140625" bestFit="1" customWidth="1"/>
  </cols>
  <sheetData>
    <row r="1" spans="1:49" x14ac:dyDescent="0.25">
      <c r="A1" s="1" t="s">
        <v>101</v>
      </c>
      <c r="B1" s="2" t="s">
        <v>120</v>
      </c>
      <c r="C1" s="2" t="s">
        <v>120</v>
      </c>
      <c r="D1" s="2" t="s">
        <v>120</v>
      </c>
      <c r="E1" s="2" t="s">
        <v>119</v>
      </c>
      <c r="F1" s="2" t="s">
        <v>119</v>
      </c>
      <c r="G1" s="2" t="s">
        <v>119</v>
      </c>
      <c r="H1" s="2" t="s">
        <v>120</v>
      </c>
      <c r="I1" s="2" t="s">
        <v>119</v>
      </c>
      <c r="J1" s="2" t="s">
        <v>119</v>
      </c>
      <c r="K1" s="2" t="s">
        <v>119</v>
      </c>
      <c r="L1" s="2" t="s">
        <v>120</v>
      </c>
      <c r="M1" s="2" t="s">
        <v>119</v>
      </c>
      <c r="N1" s="2" t="s">
        <v>119</v>
      </c>
      <c r="O1" s="2" t="s">
        <v>119</v>
      </c>
      <c r="P1" s="2" t="s">
        <v>119</v>
      </c>
      <c r="Q1" s="2" t="s">
        <v>120</v>
      </c>
      <c r="R1" s="2" t="s">
        <v>119</v>
      </c>
      <c r="S1" s="2" t="s">
        <v>119</v>
      </c>
      <c r="T1" s="2" t="s">
        <v>120</v>
      </c>
      <c r="U1" s="2" t="s">
        <v>119</v>
      </c>
      <c r="V1" s="2" t="s">
        <v>119</v>
      </c>
      <c r="W1" s="2" t="s">
        <v>120</v>
      </c>
      <c r="X1" s="2" t="s">
        <v>119</v>
      </c>
      <c r="Y1" s="2" t="s">
        <v>120</v>
      </c>
      <c r="Z1" s="2" t="s">
        <v>120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x14ac:dyDescent="0.25">
      <c r="A2" s="1" t="s">
        <v>100</v>
      </c>
      <c r="B2" s="2" t="s">
        <v>112</v>
      </c>
      <c r="C2" s="2" t="s">
        <v>117</v>
      </c>
      <c r="D2" s="2" t="s">
        <v>112</v>
      </c>
      <c r="E2" s="2" t="s">
        <v>117</v>
      </c>
      <c r="F2" s="2" t="s">
        <v>112</v>
      </c>
      <c r="G2" s="2" t="s">
        <v>123</v>
      </c>
      <c r="H2" s="2" t="s">
        <v>117</v>
      </c>
      <c r="I2" s="2" t="s">
        <v>112</v>
      </c>
      <c r="J2" s="2" t="s">
        <v>138</v>
      </c>
      <c r="K2" s="2" t="s">
        <v>117</v>
      </c>
      <c r="L2" s="2" t="s">
        <v>138</v>
      </c>
      <c r="M2" s="2" t="s">
        <v>117</v>
      </c>
      <c r="N2" s="2" t="s">
        <v>117</v>
      </c>
      <c r="O2" s="2" t="s">
        <v>112</v>
      </c>
      <c r="P2" s="2" t="s">
        <v>123</v>
      </c>
      <c r="Q2" s="2" t="s">
        <v>117</v>
      </c>
      <c r="R2" s="2" t="s">
        <v>117</v>
      </c>
      <c r="S2" s="2" t="s">
        <v>123</v>
      </c>
      <c r="T2" s="2" t="s">
        <v>112</v>
      </c>
      <c r="U2" s="2" t="s">
        <v>123</v>
      </c>
      <c r="V2" s="2" t="s">
        <v>112</v>
      </c>
      <c r="W2" s="2" t="s">
        <v>117</v>
      </c>
      <c r="X2" s="2" t="s">
        <v>123</v>
      </c>
      <c r="Y2" s="2" t="s">
        <v>117</v>
      </c>
      <c r="Z2" s="2" t="s">
        <v>123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x14ac:dyDescent="0.25">
      <c r="A3" s="1" t="s">
        <v>113</v>
      </c>
      <c r="B3" s="2" t="s">
        <v>114</v>
      </c>
      <c r="C3" s="2" t="s">
        <v>116</v>
      </c>
      <c r="D3" s="2" t="s">
        <v>116</v>
      </c>
      <c r="E3" s="2" t="s">
        <v>116</v>
      </c>
      <c r="F3" s="2" t="s">
        <v>116</v>
      </c>
      <c r="G3" s="2" t="s">
        <v>114</v>
      </c>
      <c r="H3" s="2" t="s">
        <v>114</v>
      </c>
      <c r="I3" s="2" t="s">
        <v>114</v>
      </c>
      <c r="J3" s="2" t="s">
        <v>114</v>
      </c>
      <c r="K3" s="2" t="s">
        <v>114</v>
      </c>
      <c r="L3" s="2" t="s">
        <v>114</v>
      </c>
      <c r="M3" s="2" t="s">
        <v>141</v>
      </c>
      <c r="N3" s="2" t="s">
        <v>143</v>
      </c>
      <c r="O3" s="2" t="s">
        <v>141</v>
      </c>
      <c r="P3" s="2" t="s">
        <v>116</v>
      </c>
      <c r="Q3" s="2" t="s">
        <v>143</v>
      </c>
      <c r="R3" s="2" t="s">
        <v>150</v>
      </c>
      <c r="S3" s="2" t="s">
        <v>143</v>
      </c>
      <c r="T3" s="2" t="s">
        <v>154</v>
      </c>
      <c r="U3" s="2" t="s">
        <v>154</v>
      </c>
      <c r="V3" s="2" t="s">
        <v>143</v>
      </c>
      <c r="W3" s="2" t="s">
        <v>159</v>
      </c>
      <c r="X3" s="2" t="s">
        <v>159</v>
      </c>
      <c r="Y3" s="2" t="s">
        <v>154</v>
      </c>
      <c r="Z3" s="2" t="s">
        <v>116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5" spans="1:49" x14ac:dyDescent="0.25">
      <c r="A5" s="1" t="s">
        <v>0</v>
      </c>
      <c r="B5" s="2" t="s">
        <v>111</v>
      </c>
      <c r="C5" s="2" t="s">
        <v>115</v>
      </c>
      <c r="D5" s="2" t="s">
        <v>118</v>
      </c>
      <c r="E5" s="2" t="s">
        <v>115</v>
      </c>
      <c r="F5" s="2" t="s">
        <v>118</v>
      </c>
      <c r="G5" s="2" t="s">
        <v>122</v>
      </c>
      <c r="H5" s="2" t="s">
        <v>132</v>
      </c>
      <c r="I5" s="2" t="s">
        <v>111</v>
      </c>
      <c r="J5" s="2" t="s">
        <v>137</v>
      </c>
      <c r="K5" s="2" t="s">
        <v>132</v>
      </c>
      <c r="L5" s="2" t="s">
        <v>137</v>
      </c>
      <c r="M5" s="2" t="s">
        <v>140</v>
      </c>
      <c r="N5" s="2" t="s">
        <v>142</v>
      </c>
      <c r="O5" s="2" t="s">
        <v>144</v>
      </c>
      <c r="P5" s="2" t="s">
        <v>148</v>
      </c>
      <c r="Q5" s="2" t="s">
        <v>142</v>
      </c>
      <c r="R5" s="2" t="s">
        <v>149</v>
      </c>
      <c r="S5" s="2" t="s">
        <v>152</v>
      </c>
      <c r="T5" s="2" t="s">
        <v>153</v>
      </c>
      <c r="U5" s="2" t="s">
        <v>156</v>
      </c>
      <c r="V5" s="2" t="s">
        <v>157</v>
      </c>
      <c r="W5" s="2" t="s">
        <v>160</v>
      </c>
      <c r="X5" s="2" t="s">
        <v>163</v>
      </c>
      <c r="Y5" s="2" t="s">
        <v>164</v>
      </c>
      <c r="Z5" s="2" t="s">
        <v>148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x14ac:dyDescent="0.25">
      <c r="A6" s="2" t="s">
        <v>102</v>
      </c>
      <c r="B6" s="2">
        <v>31</v>
      </c>
      <c r="C6" s="2"/>
      <c r="D6" s="2"/>
      <c r="E6" s="2">
        <v>3</v>
      </c>
      <c r="F6" s="2"/>
      <c r="G6" s="2">
        <v>6</v>
      </c>
      <c r="H6" s="2"/>
      <c r="I6" s="2">
        <v>3</v>
      </c>
      <c r="J6" s="2"/>
      <c r="K6" s="2">
        <v>161</v>
      </c>
      <c r="L6" s="2"/>
      <c r="M6" s="2"/>
      <c r="N6" s="2"/>
      <c r="O6" s="2"/>
      <c r="P6" s="2"/>
      <c r="Q6" s="2"/>
      <c r="R6" s="2"/>
      <c r="S6" s="2"/>
      <c r="T6" s="2">
        <v>32</v>
      </c>
      <c r="U6" s="2"/>
      <c r="V6" s="2"/>
      <c r="W6" s="2">
        <v>1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x14ac:dyDescent="0.25">
      <c r="A7" s="2" t="s">
        <v>2</v>
      </c>
      <c r="B7" s="2">
        <v>32</v>
      </c>
      <c r="C7" s="2"/>
      <c r="D7" s="2"/>
      <c r="E7" s="2"/>
      <c r="F7" s="2"/>
      <c r="G7" s="2">
        <v>18</v>
      </c>
      <c r="H7" s="2">
        <v>3</v>
      </c>
      <c r="I7" s="2"/>
      <c r="J7" s="2"/>
      <c r="K7" s="2">
        <v>29</v>
      </c>
      <c r="L7" s="2">
        <v>1</v>
      </c>
      <c r="M7" s="2"/>
      <c r="N7" s="2"/>
      <c r="O7" s="2">
        <v>2</v>
      </c>
      <c r="P7" s="2"/>
      <c r="Q7" s="2">
        <v>7</v>
      </c>
      <c r="R7" s="2"/>
      <c r="S7" s="2"/>
      <c r="T7" s="2">
        <v>34</v>
      </c>
      <c r="U7" s="2">
        <v>9</v>
      </c>
      <c r="V7" s="2"/>
      <c r="W7" s="2"/>
      <c r="X7" s="2"/>
      <c r="Y7" s="2">
        <v>3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x14ac:dyDescent="0.25">
      <c r="A8" s="2" t="s">
        <v>124</v>
      </c>
      <c r="B8" s="2">
        <v>1</v>
      </c>
      <c r="C8" s="2"/>
      <c r="D8" s="2"/>
      <c r="E8" s="2"/>
      <c r="F8" s="2"/>
      <c r="G8" s="2">
        <v>2</v>
      </c>
      <c r="H8" s="2">
        <v>1</v>
      </c>
      <c r="I8" s="2">
        <v>2</v>
      </c>
      <c r="J8" s="2">
        <v>1</v>
      </c>
      <c r="K8" s="2">
        <v>1</v>
      </c>
      <c r="L8" s="2"/>
      <c r="M8" s="2"/>
      <c r="N8" s="2"/>
      <c r="O8" s="2"/>
      <c r="P8" s="2"/>
      <c r="Q8" s="2"/>
      <c r="R8" s="2"/>
      <c r="S8" s="2"/>
      <c r="T8" s="2">
        <v>4</v>
      </c>
      <c r="U8" s="2">
        <v>23</v>
      </c>
      <c r="V8" s="2"/>
      <c r="W8" s="2"/>
      <c r="X8" s="2"/>
      <c r="Y8" s="2">
        <v>4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x14ac:dyDescent="0.25">
      <c r="A9" s="2" t="s">
        <v>103</v>
      </c>
      <c r="B9" s="2">
        <v>17</v>
      </c>
      <c r="C9" s="2"/>
      <c r="D9" s="2"/>
      <c r="E9" s="2"/>
      <c r="F9" s="2"/>
      <c r="G9" s="2"/>
      <c r="H9" s="2">
        <v>2</v>
      </c>
      <c r="I9" s="2"/>
      <c r="J9" s="2"/>
      <c r="K9" s="2">
        <v>1</v>
      </c>
      <c r="L9" s="2"/>
      <c r="M9" s="2"/>
      <c r="N9" s="2"/>
      <c r="O9" s="2"/>
      <c r="P9" s="2"/>
      <c r="Q9" s="2"/>
      <c r="R9" s="2"/>
      <c r="S9" s="2"/>
      <c r="T9" s="2">
        <v>5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x14ac:dyDescent="0.25">
      <c r="A10" s="2" t="s">
        <v>104</v>
      </c>
      <c r="B10" s="2">
        <v>8</v>
      </c>
      <c r="C10" s="2"/>
      <c r="D10" s="2"/>
      <c r="E10" s="2"/>
      <c r="F10" s="2"/>
      <c r="G10" s="2">
        <v>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5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x14ac:dyDescent="0.25">
      <c r="A11" s="2" t="s">
        <v>105</v>
      </c>
      <c r="B11" s="2">
        <v>9</v>
      </c>
      <c r="C11" s="2"/>
      <c r="D11" s="2"/>
      <c r="E11" s="2"/>
      <c r="F11" s="2"/>
      <c r="G11" s="2"/>
      <c r="H11" s="2"/>
      <c r="I11" s="2"/>
      <c r="J11" s="2"/>
      <c r="K11" s="2"/>
      <c r="L11" s="2">
        <v>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x14ac:dyDescent="0.25">
      <c r="A12" s="2" t="s">
        <v>106</v>
      </c>
      <c r="B12" s="2">
        <v>15</v>
      </c>
      <c r="C12" s="2"/>
      <c r="D12" s="2"/>
      <c r="E12" s="2"/>
      <c r="F12" s="2"/>
      <c r="G12" s="2"/>
      <c r="H12" s="2">
        <v>15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>
        <v>1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x14ac:dyDescent="0.25">
      <c r="A13" s="2" t="s">
        <v>107</v>
      </c>
      <c r="B13" s="2">
        <v>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x14ac:dyDescent="0.25">
      <c r="A14" s="2" t="s">
        <v>108</v>
      </c>
      <c r="B14" s="2">
        <v>14</v>
      </c>
      <c r="C14" s="2"/>
      <c r="D14" s="2"/>
      <c r="E14" s="2"/>
      <c r="F14" s="2"/>
      <c r="G14" s="2">
        <v>14</v>
      </c>
      <c r="H14" s="2">
        <v>4</v>
      </c>
      <c r="I14" s="2">
        <v>3</v>
      </c>
      <c r="J14" s="2">
        <v>5</v>
      </c>
      <c r="K14" s="2">
        <v>2</v>
      </c>
      <c r="L14" s="2">
        <v>10</v>
      </c>
      <c r="M14" s="2"/>
      <c r="N14" s="2"/>
      <c r="O14" s="2"/>
      <c r="P14" s="2"/>
      <c r="Q14" s="2">
        <v>1</v>
      </c>
      <c r="R14" s="2"/>
      <c r="S14" s="2"/>
      <c r="T14" s="2">
        <v>1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x14ac:dyDescent="0.25">
      <c r="A15" s="2" t="s">
        <v>109</v>
      </c>
      <c r="B15" s="2">
        <v>6</v>
      </c>
      <c r="C15" s="2"/>
      <c r="D15" s="2"/>
      <c r="E15" s="2"/>
      <c r="F15" s="2"/>
      <c r="G15" s="2"/>
      <c r="H15" s="2">
        <v>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x14ac:dyDescent="0.25">
      <c r="A16" s="2" t="s">
        <v>110</v>
      </c>
      <c r="B16" s="2">
        <v>5</v>
      </c>
      <c r="C16" s="2"/>
      <c r="D16" s="2"/>
      <c r="E16" s="2"/>
      <c r="F16" s="2"/>
      <c r="G16" s="2"/>
      <c r="H16" s="2">
        <v>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x14ac:dyDescent="0.25">
      <c r="A17" s="2" t="s">
        <v>121</v>
      </c>
      <c r="B17" s="2"/>
      <c r="C17" s="2"/>
      <c r="D17" s="2"/>
      <c r="E17" s="2">
        <v>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x14ac:dyDescent="0.25">
      <c r="A18" s="2" t="s">
        <v>125</v>
      </c>
      <c r="B18" s="2"/>
      <c r="C18" s="2"/>
      <c r="D18" s="2"/>
      <c r="E18" s="2"/>
      <c r="F18" s="2"/>
      <c r="G18" s="2">
        <v>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x14ac:dyDescent="0.25">
      <c r="A19" s="2" t="s">
        <v>126</v>
      </c>
      <c r="B19" s="2"/>
      <c r="C19" s="2"/>
      <c r="D19" s="2"/>
      <c r="E19" s="2"/>
      <c r="F19" s="2"/>
      <c r="G19" s="2">
        <v>4</v>
      </c>
      <c r="H19" s="2"/>
      <c r="I19" s="2">
        <v>4</v>
      </c>
      <c r="J19" s="2"/>
      <c r="K19" s="2"/>
      <c r="L19" s="2"/>
      <c r="M19" s="2"/>
      <c r="N19" s="2"/>
      <c r="O19" s="2"/>
      <c r="P19" s="2"/>
      <c r="Q19" s="2">
        <v>2</v>
      </c>
      <c r="R19" s="2"/>
      <c r="S19" s="2"/>
      <c r="T19" s="2"/>
      <c r="U19" s="2">
        <v>24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x14ac:dyDescent="0.25">
      <c r="A20" s="2" t="s">
        <v>127</v>
      </c>
      <c r="B20" s="2"/>
      <c r="C20" s="2"/>
      <c r="D20" s="2"/>
      <c r="E20" s="2"/>
      <c r="F20" s="2"/>
      <c r="G20" s="2">
        <v>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x14ac:dyDescent="0.25">
      <c r="A21" s="2" t="s">
        <v>128</v>
      </c>
      <c r="B21" s="2"/>
      <c r="C21" s="2"/>
      <c r="D21" s="2"/>
      <c r="E21" s="2"/>
      <c r="F21" s="2"/>
      <c r="G21" s="2">
        <v>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x14ac:dyDescent="0.25">
      <c r="A22" s="2" t="s">
        <v>129</v>
      </c>
      <c r="B22" s="2"/>
      <c r="C22" s="2"/>
      <c r="D22" s="2"/>
      <c r="E22" s="2"/>
      <c r="F22" s="2"/>
      <c r="G22" s="2">
        <v>2</v>
      </c>
      <c r="H22" s="2"/>
      <c r="I22" s="2"/>
      <c r="J22" s="2"/>
      <c r="K22" s="2">
        <v>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x14ac:dyDescent="0.25">
      <c r="A23" s="2" t="s">
        <v>130</v>
      </c>
      <c r="B23" s="2"/>
      <c r="C23" s="2"/>
      <c r="D23" s="2"/>
      <c r="E23" s="2"/>
      <c r="F23" s="2"/>
      <c r="G23" s="2">
        <v>3</v>
      </c>
      <c r="H23" s="2"/>
      <c r="I23" s="2"/>
      <c r="J23" s="2"/>
      <c r="K23" s="2">
        <v>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x14ac:dyDescent="0.25">
      <c r="A24" s="2" t="s">
        <v>131</v>
      </c>
      <c r="B24" s="2"/>
      <c r="C24" s="2"/>
      <c r="D24" s="2"/>
      <c r="E24" s="2"/>
      <c r="F24" s="2"/>
      <c r="G24" s="2">
        <v>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x14ac:dyDescent="0.25">
      <c r="A25" s="2" t="s">
        <v>133</v>
      </c>
      <c r="B25" s="2"/>
      <c r="C25" s="2"/>
      <c r="D25" s="2"/>
      <c r="E25" s="2"/>
      <c r="F25" s="2"/>
      <c r="G25" s="2"/>
      <c r="H25" s="2"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x14ac:dyDescent="0.25">
      <c r="A26" s="2" t="s">
        <v>134</v>
      </c>
      <c r="B26" s="2"/>
      <c r="C26" s="2"/>
      <c r="D26" s="2"/>
      <c r="E26" s="2"/>
      <c r="F26" s="2"/>
      <c r="G26" s="2"/>
      <c r="H26" s="2"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>
        <v>6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x14ac:dyDescent="0.25">
      <c r="A27" s="2" t="s">
        <v>26</v>
      </c>
      <c r="B27" s="2"/>
      <c r="C27" s="2"/>
      <c r="D27" s="2"/>
      <c r="E27" s="2"/>
      <c r="F27" s="2"/>
      <c r="G27" s="2"/>
      <c r="H27" s="2">
        <v>9</v>
      </c>
      <c r="I27" s="2"/>
      <c r="J27" s="2"/>
      <c r="K27" s="2"/>
      <c r="L27" s="2">
        <v>6</v>
      </c>
      <c r="M27" s="2"/>
      <c r="N27" s="2"/>
      <c r="O27" s="2"/>
      <c r="P27" s="2"/>
      <c r="Q27" s="2"/>
      <c r="R27" s="2"/>
      <c r="S27" s="2"/>
      <c r="T27" s="2"/>
      <c r="U27" s="2"/>
      <c r="V27" s="2">
        <v>1</v>
      </c>
      <c r="W27" s="2"/>
      <c r="X27" s="2"/>
      <c r="Y27" s="2">
        <v>1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x14ac:dyDescent="0.25">
      <c r="A28" s="2" t="s">
        <v>135</v>
      </c>
      <c r="B28" s="2"/>
      <c r="C28" s="2"/>
      <c r="D28" s="2"/>
      <c r="E28" s="2"/>
      <c r="F28" s="2"/>
      <c r="G28" s="2"/>
      <c r="H28" s="2">
        <v>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x14ac:dyDescent="0.25">
      <c r="A29" s="2" t="s">
        <v>3</v>
      </c>
      <c r="B29" s="2"/>
      <c r="C29" s="2"/>
      <c r="D29" s="2"/>
      <c r="E29" s="2"/>
      <c r="F29" s="2"/>
      <c r="G29" s="2"/>
      <c r="H29" s="2"/>
      <c r="I29" s="2">
        <v>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>
        <v>2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x14ac:dyDescent="0.25">
      <c r="A30" s="2" t="s">
        <v>136</v>
      </c>
      <c r="B30" s="2"/>
      <c r="C30" s="2"/>
      <c r="D30" s="2"/>
      <c r="E30" s="2"/>
      <c r="F30" s="2"/>
      <c r="G30" s="2"/>
      <c r="H30" s="2"/>
      <c r="I30" s="2"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x14ac:dyDescent="0.25">
      <c r="A31" s="2" t="s">
        <v>131</v>
      </c>
      <c r="B31" s="2"/>
      <c r="C31" s="2"/>
      <c r="D31" s="2"/>
      <c r="E31" s="2"/>
      <c r="F31" s="2"/>
      <c r="G31" s="2"/>
      <c r="H31" s="2"/>
      <c r="J31" s="2">
        <v>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x14ac:dyDescent="0.25">
      <c r="A32" s="2" t="s">
        <v>139</v>
      </c>
      <c r="B32" s="2"/>
      <c r="C32" s="2"/>
      <c r="D32" s="2"/>
      <c r="E32" s="2"/>
      <c r="F32" s="2"/>
      <c r="G32" s="2"/>
      <c r="H32" s="2"/>
      <c r="I32" s="2"/>
      <c r="J32" s="2"/>
      <c r="K32" s="2">
        <v>1</v>
      </c>
      <c r="L32" s="2"/>
      <c r="M32" s="2"/>
      <c r="N32" s="2"/>
      <c r="O32" s="2"/>
      <c r="P32" s="2"/>
      <c r="Q32" s="2"/>
      <c r="R32" s="2"/>
      <c r="S32" s="2"/>
      <c r="T32" s="2">
        <v>2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x14ac:dyDescent="0.25">
      <c r="A33" s="2" t="s">
        <v>145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>
        <v>28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x14ac:dyDescent="0.25">
      <c r="A34" s="2" t="s">
        <v>17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>
        <v>5</v>
      </c>
      <c r="P34" s="2"/>
      <c r="Q34" s="2"/>
      <c r="R34" s="2"/>
      <c r="S34" s="2"/>
      <c r="T34" s="2"/>
      <c r="U34" s="2">
        <v>7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x14ac:dyDescent="0.25">
      <c r="A35" s="2" t="s">
        <v>146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x14ac:dyDescent="0.25">
      <c r="A36" s="2" t="s">
        <v>147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>
        <v>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x14ac:dyDescent="0.25">
      <c r="A37" s="2" t="s">
        <v>151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R37" s="2">
        <v>1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x14ac:dyDescent="0.25">
      <c r="A38" s="6" t="s">
        <v>155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S38" s="2"/>
      <c r="T38" s="2">
        <v>1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x14ac:dyDescent="0.25">
      <c r="A39" s="2" t="s">
        <v>158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>
        <v>1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x14ac:dyDescent="0.25">
      <c r="A40" s="2" t="s">
        <v>161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v>2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x14ac:dyDescent="0.25">
      <c r="A41" s="2" t="s">
        <v>162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v>1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x14ac:dyDescent="0.25">
      <c r="A42" s="2" t="s">
        <v>127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2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x14ac:dyDescent="0.25">
      <c r="A43" s="2" t="s">
        <v>165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1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x14ac:dyDescent="0.25">
      <c r="A44" s="2" t="s">
        <v>166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>
        <v>1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x14ac:dyDescent="0.25">
      <c r="A45" s="2" t="s">
        <v>109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>
        <v>1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x14ac:dyDescent="0.25">
      <c r="A46" s="2" t="s">
        <v>167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>
        <v>1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x14ac:dyDescent="0.25">
      <c r="A74" s="4"/>
      <c r="T74">
        <v>1</v>
      </c>
    </row>
    <row r="76" spans="1:49" x14ac:dyDescent="0.25">
      <c r="A76" s="1" t="s">
        <v>46</v>
      </c>
      <c r="B76" s="2">
        <f t="shared" ref="B76:S76" si="0">SUM(B6:B73)</f>
        <v>142</v>
      </c>
      <c r="C76" s="2">
        <f t="shared" si="0"/>
        <v>0</v>
      </c>
      <c r="D76" s="2">
        <f t="shared" si="0"/>
        <v>0</v>
      </c>
      <c r="E76" s="2">
        <f t="shared" si="0"/>
        <v>6</v>
      </c>
      <c r="F76" s="2">
        <f t="shared" si="0"/>
        <v>0</v>
      </c>
      <c r="G76" s="2">
        <f>SUM(G6:G73)</f>
        <v>67</v>
      </c>
      <c r="H76" s="2">
        <f t="shared" si="0"/>
        <v>48</v>
      </c>
      <c r="I76" s="2">
        <f t="shared" si="0"/>
        <v>14</v>
      </c>
      <c r="J76" s="2">
        <f t="shared" si="0"/>
        <v>8</v>
      </c>
      <c r="K76" s="2">
        <f t="shared" si="0"/>
        <v>197</v>
      </c>
      <c r="L76" s="2">
        <f t="shared" si="0"/>
        <v>19</v>
      </c>
      <c r="M76" s="2">
        <f t="shared" si="0"/>
        <v>0</v>
      </c>
      <c r="N76" s="2">
        <f t="shared" si="0"/>
        <v>0</v>
      </c>
      <c r="O76" s="2">
        <f t="shared" si="0"/>
        <v>39</v>
      </c>
      <c r="P76" s="2">
        <f t="shared" si="0"/>
        <v>0</v>
      </c>
      <c r="Q76" s="2">
        <f t="shared" si="0"/>
        <v>10</v>
      </c>
      <c r="R76" s="2">
        <f t="shared" si="0"/>
        <v>1</v>
      </c>
      <c r="S76" s="2">
        <f t="shared" si="0"/>
        <v>0</v>
      </c>
      <c r="T76" s="2">
        <f t="shared" ref="T76:AE76" si="1">SUM(T6:T74)</f>
        <v>91</v>
      </c>
      <c r="U76" s="2">
        <f t="shared" si="1"/>
        <v>63</v>
      </c>
      <c r="V76" s="2">
        <f t="shared" si="1"/>
        <v>2</v>
      </c>
      <c r="W76" s="2">
        <f t="shared" si="1"/>
        <v>5</v>
      </c>
      <c r="X76" s="2">
        <f t="shared" si="1"/>
        <v>0</v>
      </c>
      <c r="Y76" s="2">
        <f t="shared" si="1"/>
        <v>16</v>
      </c>
      <c r="Z76" s="2">
        <f t="shared" si="1"/>
        <v>0</v>
      </c>
      <c r="AA76" s="2">
        <f t="shared" si="1"/>
        <v>0</v>
      </c>
      <c r="AB76" s="2">
        <f t="shared" si="1"/>
        <v>0</v>
      </c>
      <c r="AC76" s="2">
        <f t="shared" si="1"/>
        <v>0</v>
      </c>
      <c r="AD76" s="2">
        <f t="shared" si="1"/>
        <v>0</v>
      </c>
      <c r="AE76" s="2">
        <f t="shared" si="1"/>
        <v>0</v>
      </c>
      <c r="AF76" s="2">
        <f t="shared" ref="AF76:AW76" si="2">SUM(AF6:AF74)</f>
        <v>0</v>
      </c>
      <c r="AG76" s="2">
        <f t="shared" si="2"/>
        <v>0</v>
      </c>
      <c r="AH76" s="2">
        <f t="shared" si="2"/>
        <v>0</v>
      </c>
      <c r="AI76" s="2">
        <f t="shared" si="2"/>
        <v>0</v>
      </c>
      <c r="AJ76" s="2">
        <f t="shared" si="2"/>
        <v>0</v>
      </c>
      <c r="AK76" s="2">
        <f t="shared" si="2"/>
        <v>0</v>
      </c>
      <c r="AL76" s="2">
        <f t="shared" si="2"/>
        <v>0</v>
      </c>
      <c r="AM76" s="2">
        <f t="shared" si="2"/>
        <v>0</v>
      </c>
      <c r="AN76" s="2">
        <f t="shared" si="2"/>
        <v>0</v>
      </c>
      <c r="AO76" s="2">
        <f t="shared" si="2"/>
        <v>0</v>
      </c>
      <c r="AP76" s="2">
        <f t="shared" si="2"/>
        <v>0</v>
      </c>
      <c r="AQ76" s="2">
        <f t="shared" si="2"/>
        <v>0</v>
      </c>
      <c r="AR76" s="2">
        <f t="shared" si="2"/>
        <v>0</v>
      </c>
      <c r="AS76" s="2">
        <f t="shared" si="2"/>
        <v>0</v>
      </c>
      <c r="AT76" s="2">
        <f t="shared" si="2"/>
        <v>0</v>
      </c>
      <c r="AU76" s="2">
        <f t="shared" si="2"/>
        <v>0</v>
      </c>
      <c r="AV76" s="2">
        <f t="shared" si="2"/>
        <v>0</v>
      </c>
      <c r="AW76" s="2">
        <f t="shared" si="2"/>
        <v>0</v>
      </c>
    </row>
    <row r="77" spans="1:49" x14ac:dyDescent="0.25">
      <c r="A77" s="1" t="s">
        <v>0</v>
      </c>
      <c r="B77" s="2">
        <f t="shared" ref="B77:S77" si="3">COUNT(B6:B73)</f>
        <v>11</v>
      </c>
      <c r="C77" s="2">
        <f t="shared" si="3"/>
        <v>0</v>
      </c>
      <c r="D77" s="2">
        <f t="shared" si="3"/>
        <v>0</v>
      </c>
      <c r="E77" s="2">
        <f t="shared" si="3"/>
        <v>2</v>
      </c>
      <c r="F77" s="2">
        <f t="shared" si="3"/>
        <v>0</v>
      </c>
      <c r="G77" s="2">
        <f t="shared" si="3"/>
        <v>12</v>
      </c>
      <c r="H77" s="2">
        <f t="shared" si="3"/>
        <v>11</v>
      </c>
      <c r="I77" s="2">
        <f t="shared" si="3"/>
        <v>6</v>
      </c>
      <c r="J77" s="2">
        <f t="shared" si="3"/>
        <v>3</v>
      </c>
      <c r="K77" s="2">
        <f t="shared" si="3"/>
        <v>8</v>
      </c>
      <c r="L77" s="2">
        <f t="shared" si="3"/>
        <v>4</v>
      </c>
      <c r="M77" s="2">
        <f t="shared" si="3"/>
        <v>0</v>
      </c>
      <c r="N77" s="2">
        <f t="shared" si="3"/>
        <v>0</v>
      </c>
      <c r="O77" s="2">
        <f t="shared" si="3"/>
        <v>5</v>
      </c>
      <c r="P77" s="2">
        <f t="shared" si="3"/>
        <v>0</v>
      </c>
      <c r="Q77" s="2">
        <f t="shared" si="3"/>
        <v>3</v>
      </c>
      <c r="R77" s="2">
        <f t="shared" si="3"/>
        <v>1</v>
      </c>
      <c r="S77" s="2">
        <f t="shared" si="3"/>
        <v>0</v>
      </c>
      <c r="T77" s="2">
        <f>COUNT(T6:T74)</f>
        <v>10</v>
      </c>
      <c r="U77" s="2">
        <f t="shared" ref="U77:AW77" si="4">COUNT(U6:U74)</f>
        <v>4</v>
      </c>
      <c r="V77" s="2">
        <f t="shared" si="4"/>
        <v>2</v>
      </c>
      <c r="W77" s="2">
        <f t="shared" si="4"/>
        <v>4</v>
      </c>
      <c r="X77" s="2">
        <f>COUNT(X6:X74)</f>
        <v>0</v>
      </c>
      <c r="Y77" s="2">
        <f t="shared" si="4"/>
        <v>9</v>
      </c>
      <c r="Z77" s="2">
        <f t="shared" si="4"/>
        <v>0</v>
      </c>
      <c r="AA77" s="2">
        <f t="shared" si="4"/>
        <v>0</v>
      </c>
      <c r="AB77" s="2">
        <f t="shared" si="4"/>
        <v>0</v>
      </c>
      <c r="AC77" s="2">
        <f t="shared" si="4"/>
        <v>0</v>
      </c>
      <c r="AD77" s="2">
        <f t="shared" si="4"/>
        <v>0</v>
      </c>
      <c r="AE77" s="2">
        <f t="shared" si="4"/>
        <v>0</v>
      </c>
      <c r="AF77" s="2">
        <f t="shared" si="4"/>
        <v>0</v>
      </c>
      <c r="AG77" s="2">
        <f t="shared" si="4"/>
        <v>0</v>
      </c>
      <c r="AH77" s="2">
        <f t="shared" si="4"/>
        <v>0</v>
      </c>
      <c r="AI77" s="2">
        <f t="shared" si="4"/>
        <v>0</v>
      </c>
      <c r="AJ77" s="2">
        <f t="shared" si="4"/>
        <v>0</v>
      </c>
      <c r="AK77" s="2">
        <f t="shared" si="4"/>
        <v>0</v>
      </c>
      <c r="AL77" s="2">
        <f t="shared" si="4"/>
        <v>0</v>
      </c>
      <c r="AM77" s="2">
        <f t="shared" si="4"/>
        <v>0</v>
      </c>
      <c r="AN77" s="2">
        <f t="shared" si="4"/>
        <v>0</v>
      </c>
      <c r="AO77" s="2">
        <f t="shared" si="4"/>
        <v>0</v>
      </c>
      <c r="AP77" s="2">
        <f t="shared" si="4"/>
        <v>0</v>
      </c>
      <c r="AQ77" s="2">
        <f t="shared" si="4"/>
        <v>0</v>
      </c>
      <c r="AR77" s="2">
        <f t="shared" si="4"/>
        <v>0</v>
      </c>
      <c r="AS77" s="2">
        <f t="shared" si="4"/>
        <v>0</v>
      </c>
      <c r="AT77" s="2">
        <f t="shared" si="4"/>
        <v>0</v>
      </c>
      <c r="AU77" s="2">
        <f t="shared" si="4"/>
        <v>0</v>
      </c>
      <c r="AV77" s="2">
        <f t="shared" si="4"/>
        <v>0</v>
      </c>
      <c r="AW77" s="2">
        <f t="shared" si="4"/>
        <v>0</v>
      </c>
    </row>
    <row r="80" spans="1:49" x14ac:dyDescent="0.25">
      <c r="G80" s="3" t="s">
        <v>46</v>
      </c>
    </row>
    <row r="81" spans="2:11" x14ac:dyDescent="0.25">
      <c r="B81" s="1" t="s">
        <v>41</v>
      </c>
      <c r="C81" s="1" t="s">
        <v>42</v>
      </c>
      <c r="D81" s="1" t="s">
        <v>46</v>
      </c>
      <c r="E81" s="1" t="s">
        <v>0</v>
      </c>
      <c r="G81" s="1" t="s">
        <v>41</v>
      </c>
      <c r="H81" s="1" t="s">
        <v>42</v>
      </c>
      <c r="I81" s="5" t="s">
        <v>92</v>
      </c>
      <c r="J81" s="5" t="s">
        <v>93</v>
      </c>
      <c r="K81" s="5" t="s">
        <v>94</v>
      </c>
    </row>
    <row r="82" spans="2:11" x14ac:dyDescent="0.25">
      <c r="B82" s="2" t="s">
        <v>38</v>
      </c>
      <c r="C82" s="2" t="s">
        <v>36</v>
      </c>
      <c r="D82" s="2">
        <v>374</v>
      </c>
      <c r="E82" s="2">
        <v>7</v>
      </c>
      <c r="G82" t="s">
        <v>97</v>
      </c>
      <c r="H82" s="2" t="s">
        <v>36</v>
      </c>
      <c r="I82">
        <f>SUM(D82,D84,D86,D88,D90,D92,D94,D96)</f>
        <v>751</v>
      </c>
      <c r="J82">
        <f>AVERAGE(I82/8)</f>
        <v>93.875</v>
      </c>
      <c r="K82">
        <f>STDEV(D82,D84,D86,D88,D90,D92,D94,D96)/SQRT(8)</f>
        <v>41.15885493166342</v>
      </c>
    </row>
    <row r="83" spans="2:11" x14ac:dyDescent="0.25">
      <c r="B83" s="2" t="s">
        <v>38</v>
      </c>
      <c r="C83" s="2" t="s">
        <v>37</v>
      </c>
      <c r="D83" s="2">
        <v>36</v>
      </c>
      <c r="E83" s="2">
        <v>10</v>
      </c>
      <c r="G83" t="s">
        <v>97</v>
      </c>
      <c r="H83" s="2" t="s">
        <v>96</v>
      </c>
      <c r="I83">
        <f>SUM(D83,D85,D87,D89,D91,D93,D95,D97)</f>
        <v>630</v>
      </c>
      <c r="J83">
        <f t="shared" ref="J83:J87" si="5">AVERAGE(I83/8)</f>
        <v>78.75</v>
      </c>
      <c r="K83">
        <f>STDEV(D83,D85,D87,D89,D91,D93,D95,D97)/SQRT(8)</f>
        <v>26.785357140476158</v>
      </c>
    </row>
    <row r="84" spans="2:11" x14ac:dyDescent="0.25">
      <c r="B84" s="2" t="s">
        <v>38</v>
      </c>
      <c r="C84" s="2" t="s">
        <v>36</v>
      </c>
      <c r="D84" s="2">
        <v>88</v>
      </c>
      <c r="E84" s="2">
        <v>12</v>
      </c>
      <c r="G84" t="s">
        <v>98</v>
      </c>
      <c r="H84" s="2" t="s">
        <v>36</v>
      </c>
      <c r="I84">
        <f>SUM(D98,D100,D102,D104,D106,D108,D110,D112)</f>
        <v>367</v>
      </c>
      <c r="J84">
        <f t="shared" si="5"/>
        <v>45.875</v>
      </c>
      <c r="K84">
        <f>STDEV(D98,D100,D102,D104,D106,D108,D110,D112)/SQRT(8)</f>
        <v>13.412996762202587</v>
      </c>
    </row>
    <row r="85" spans="2:11" x14ac:dyDescent="0.25">
      <c r="B85" s="2" t="s">
        <v>38</v>
      </c>
      <c r="C85" s="2" t="s">
        <v>37</v>
      </c>
      <c r="D85" s="2">
        <v>140</v>
      </c>
      <c r="E85" s="2">
        <v>12</v>
      </c>
      <c r="G85" t="s">
        <v>98</v>
      </c>
      <c r="H85" s="2" t="s">
        <v>96</v>
      </c>
      <c r="I85">
        <f>SUM(D99,D101,D103,D105,D107,D109,D111,D113)</f>
        <v>403</v>
      </c>
      <c r="J85">
        <f t="shared" si="5"/>
        <v>50.375</v>
      </c>
      <c r="K85">
        <f>STDEV(D99,D101,D103,D105,D107,D109,D111,D113)/SQRT(8)</f>
        <v>16.60135267724548</v>
      </c>
    </row>
    <row r="86" spans="2:11" x14ac:dyDescent="0.25">
      <c r="B86" s="2" t="s">
        <v>38</v>
      </c>
      <c r="C86" s="2" t="s">
        <v>36</v>
      </c>
      <c r="D86" s="2">
        <v>102</v>
      </c>
      <c r="E86" s="2">
        <v>3</v>
      </c>
      <c r="G86" t="s">
        <v>99</v>
      </c>
      <c r="H86" s="2" t="s">
        <v>36</v>
      </c>
      <c r="I86">
        <f>SUM(D114,D116,D118,D120,D122,D124,D126,D128)</f>
        <v>40</v>
      </c>
      <c r="J86">
        <f t="shared" si="5"/>
        <v>5</v>
      </c>
      <c r="K86">
        <f>STDEV(D114,D116,D118,D120,D122,D124,D126,D128)/SQRT(8)</f>
        <v>1.5352989471574767</v>
      </c>
    </row>
    <row r="87" spans="2:11" x14ac:dyDescent="0.25">
      <c r="B87" s="2" t="s">
        <v>38</v>
      </c>
      <c r="C87" s="2" t="s">
        <v>37</v>
      </c>
      <c r="D87" s="2">
        <v>209</v>
      </c>
      <c r="E87" s="2">
        <v>5</v>
      </c>
      <c r="G87" t="s">
        <v>99</v>
      </c>
      <c r="H87" s="2" t="s">
        <v>96</v>
      </c>
      <c r="I87">
        <f>SUM(D115,D117,D119,D121,D123,D125,D127,D129)</f>
        <v>49</v>
      </c>
      <c r="J87">
        <f t="shared" si="5"/>
        <v>6.125</v>
      </c>
      <c r="K87">
        <f>STDEV(D115,D117,D119,D121,D123,D125,D127,D129)/SQRT(8)</f>
        <v>1.0596074070819139</v>
      </c>
    </row>
    <row r="88" spans="2:11" x14ac:dyDescent="0.25">
      <c r="B88" s="2" t="s">
        <v>38</v>
      </c>
      <c r="C88" s="2" t="s">
        <v>36</v>
      </c>
      <c r="D88" s="2">
        <v>36</v>
      </c>
      <c r="E88" s="2">
        <v>7</v>
      </c>
    </row>
    <row r="89" spans="2:11" x14ac:dyDescent="0.25">
      <c r="B89" s="2" t="s">
        <v>38</v>
      </c>
      <c r="C89" s="2" t="s">
        <v>37</v>
      </c>
      <c r="D89" s="2">
        <v>0</v>
      </c>
      <c r="E89" s="2">
        <v>0</v>
      </c>
    </row>
    <row r="90" spans="2:11" x14ac:dyDescent="0.25">
      <c r="B90" s="2" t="s">
        <v>38</v>
      </c>
      <c r="C90" s="2" t="s">
        <v>36</v>
      </c>
      <c r="D90" s="2">
        <v>41</v>
      </c>
      <c r="E90" s="2">
        <v>7</v>
      </c>
    </row>
    <row r="91" spans="2:11" x14ac:dyDescent="0.25">
      <c r="B91" s="2" t="s">
        <v>38</v>
      </c>
      <c r="C91" s="2" t="s">
        <v>37</v>
      </c>
      <c r="D91" s="2">
        <v>48</v>
      </c>
      <c r="E91" s="2">
        <v>6</v>
      </c>
    </row>
    <row r="92" spans="2:11" x14ac:dyDescent="0.25">
      <c r="B92" s="2" t="s">
        <v>38</v>
      </c>
      <c r="C92" s="2" t="s">
        <v>36</v>
      </c>
      <c r="D92" s="2">
        <v>33</v>
      </c>
      <c r="E92" s="2">
        <v>5</v>
      </c>
    </row>
    <row r="93" spans="2:11" x14ac:dyDescent="0.25">
      <c r="B93" s="2" t="s">
        <v>38</v>
      </c>
      <c r="C93" s="2" t="s">
        <v>37</v>
      </c>
      <c r="D93" s="2">
        <v>147</v>
      </c>
      <c r="E93" s="2">
        <v>7</v>
      </c>
      <c r="G93" s="3" t="s">
        <v>0</v>
      </c>
    </row>
    <row r="94" spans="2:11" x14ac:dyDescent="0.25">
      <c r="B94" s="2" t="s">
        <v>38</v>
      </c>
      <c r="C94" s="2" t="s">
        <v>36</v>
      </c>
      <c r="D94" s="2">
        <v>26</v>
      </c>
      <c r="E94" s="2">
        <v>2</v>
      </c>
      <c r="G94" s="1" t="s">
        <v>41</v>
      </c>
      <c r="H94" s="1" t="s">
        <v>42</v>
      </c>
      <c r="I94" s="5" t="s">
        <v>92</v>
      </c>
      <c r="J94" s="5" t="s">
        <v>93</v>
      </c>
      <c r="K94" s="5" t="s">
        <v>94</v>
      </c>
    </row>
    <row r="95" spans="2:11" x14ac:dyDescent="0.25">
      <c r="B95" s="2" t="s">
        <v>38</v>
      </c>
      <c r="C95" s="2" t="s">
        <v>37</v>
      </c>
      <c r="D95" s="2">
        <v>30</v>
      </c>
      <c r="E95" s="2">
        <v>6</v>
      </c>
      <c r="G95" t="s">
        <v>38</v>
      </c>
      <c r="H95" s="2" t="s">
        <v>36</v>
      </c>
      <c r="I95">
        <f>SUM(E82,E84,E86,E88,E90,E92,E94,E96)</f>
        <v>53</v>
      </c>
      <c r="J95">
        <f>AVERAGE(I95)/8</f>
        <v>6.625</v>
      </c>
      <c r="K95">
        <f>STDEV(E82,E84,E86,E88,E90,E92,E94,E96)/SQRT(8)</f>
        <v>1.1792476415070754</v>
      </c>
    </row>
    <row r="96" spans="2:11" x14ac:dyDescent="0.25">
      <c r="B96" s="2" t="s">
        <v>38</v>
      </c>
      <c r="C96" s="2" t="s">
        <v>36</v>
      </c>
      <c r="D96" s="2">
        <v>51</v>
      </c>
      <c r="E96" s="2">
        <v>10</v>
      </c>
      <c r="G96" t="s">
        <v>38</v>
      </c>
      <c r="H96" s="2" t="s">
        <v>37</v>
      </c>
      <c r="I96">
        <f>SUM(E83,E85,E87,E89,E91,E93,E95,E97)</f>
        <v>55</v>
      </c>
      <c r="J96">
        <f t="shared" ref="J96:J100" si="6">AVERAGE(I96)/8</f>
        <v>6.875</v>
      </c>
      <c r="K96">
        <f>STDEV(E83,E85,E87,E89,E91,E93,E95,E97)/SQRT(8)</f>
        <v>1.2878206951501994</v>
      </c>
    </row>
    <row r="97" spans="2:11" x14ac:dyDescent="0.25">
      <c r="B97" s="2" t="s">
        <v>38</v>
      </c>
      <c r="C97" s="2" t="s">
        <v>37</v>
      </c>
      <c r="D97" s="2">
        <v>20</v>
      </c>
      <c r="E97" s="2">
        <v>9</v>
      </c>
      <c r="G97" t="s">
        <v>72</v>
      </c>
      <c r="H97" s="2" t="s">
        <v>36</v>
      </c>
      <c r="I97">
        <f>SUM(E98,E100,E102,E104,E106,E108,E110,E112)</f>
        <v>41</v>
      </c>
      <c r="J97">
        <f t="shared" si="6"/>
        <v>5.125</v>
      </c>
      <c r="K97">
        <f>STDEV(E98,E100,E102,E104,E106,E108,E110,E112)/SQRT(8)</f>
        <v>0.76619421260446197</v>
      </c>
    </row>
    <row r="98" spans="2:11" x14ac:dyDescent="0.25">
      <c r="B98" s="2" t="s">
        <v>72</v>
      </c>
      <c r="C98" s="2" t="s">
        <v>36</v>
      </c>
      <c r="D98" s="2">
        <v>10</v>
      </c>
      <c r="E98" s="2">
        <v>3</v>
      </c>
      <c r="G98" t="s">
        <v>72</v>
      </c>
      <c r="H98" s="2" t="s">
        <v>37</v>
      </c>
      <c r="I98">
        <f>SUM(E99,E101,E103,E105,E107,E109,E111,E113)</f>
        <v>66</v>
      </c>
      <c r="J98">
        <f t="shared" si="6"/>
        <v>8.25</v>
      </c>
      <c r="K98">
        <f>STDEV(E99,E101,E103,E105,E107,E109,E111,E113)/SQRT(8)</f>
        <v>1.4236522448567677</v>
      </c>
    </row>
    <row r="99" spans="2:11" x14ac:dyDescent="0.25">
      <c r="B99" s="2" t="s">
        <v>72</v>
      </c>
      <c r="C99" s="2" t="s">
        <v>37</v>
      </c>
      <c r="D99" s="2">
        <v>48</v>
      </c>
      <c r="E99" s="2">
        <v>8</v>
      </c>
      <c r="G99" t="s">
        <v>87</v>
      </c>
      <c r="H99" s="2" t="s">
        <v>36</v>
      </c>
      <c r="I99">
        <f>SUM(E114,E116,E118,E120,E122,E124,E126,E128)</f>
        <v>26</v>
      </c>
      <c r="J99">
        <f t="shared" si="6"/>
        <v>3.25</v>
      </c>
      <c r="K99">
        <f>STDEV(E114,E116,E118,E120,E122,E124,E126,E128)/SQRT(8)</f>
        <v>0.70076488822673511</v>
      </c>
    </row>
    <row r="100" spans="2:11" x14ac:dyDescent="0.25">
      <c r="B100" s="2" t="s">
        <v>72</v>
      </c>
      <c r="C100" s="2" t="s">
        <v>36</v>
      </c>
      <c r="D100" s="2">
        <v>47</v>
      </c>
      <c r="E100" s="2">
        <v>7</v>
      </c>
      <c r="G100" t="s">
        <v>87</v>
      </c>
      <c r="H100" s="2" t="s">
        <v>37</v>
      </c>
      <c r="I100">
        <f>SUM(E115,E117,E119,E121,E123,E125,E127,E129)</f>
        <v>30</v>
      </c>
      <c r="J100">
        <f t="shared" si="6"/>
        <v>3.75</v>
      </c>
      <c r="K100">
        <f>STDEV(E115,E117,E119,E121,E123,E125,E127,E129)/SQRT(8)</f>
        <v>0.45316348358748282</v>
      </c>
    </row>
    <row r="101" spans="2:11" x14ac:dyDescent="0.25">
      <c r="B101" s="2" t="s">
        <v>72</v>
      </c>
      <c r="C101" s="2" t="s">
        <v>37</v>
      </c>
      <c r="D101" s="2">
        <v>17</v>
      </c>
      <c r="E101" s="2">
        <v>6</v>
      </c>
    </row>
    <row r="102" spans="2:11" x14ac:dyDescent="0.25">
      <c r="B102" s="2" t="s">
        <v>72</v>
      </c>
      <c r="C102" s="2" t="s">
        <v>36</v>
      </c>
      <c r="D102" s="2">
        <v>8</v>
      </c>
      <c r="E102" s="2">
        <v>2</v>
      </c>
    </row>
    <row r="103" spans="2:11" x14ac:dyDescent="0.25">
      <c r="B103" s="2" t="s">
        <v>72</v>
      </c>
      <c r="C103" s="2" t="s">
        <v>37</v>
      </c>
      <c r="D103" s="2">
        <v>27</v>
      </c>
      <c r="E103" s="2">
        <v>6</v>
      </c>
    </row>
    <row r="104" spans="2:11" x14ac:dyDescent="0.25">
      <c r="B104" s="2" t="s">
        <v>72</v>
      </c>
      <c r="C104" s="2" t="s">
        <v>36</v>
      </c>
      <c r="D104" s="2">
        <v>18</v>
      </c>
      <c r="E104" s="2">
        <v>4</v>
      </c>
    </row>
    <row r="105" spans="2:11" x14ac:dyDescent="0.25">
      <c r="B105" s="2" t="s">
        <v>72</v>
      </c>
      <c r="C105" s="2" t="s">
        <v>37</v>
      </c>
      <c r="D105" s="2">
        <v>15</v>
      </c>
      <c r="E105" s="2">
        <v>7</v>
      </c>
    </row>
    <row r="106" spans="2:11" x14ac:dyDescent="0.25">
      <c r="B106" s="2" t="s">
        <v>72</v>
      </c>
      <c r="C106" s="2" t="s">
        <v>36</v>
      </c>
      <c r="D106" s="2">
        <v>69</v>
      </c>
      <c r="E106" s="2">
        <v>4</v>
      </c>
    </row>
    <row r="107" spans="2:11" x14ac:dyDescent="0.25">
      <c r="B107" s="2" t="s">
        <v>72</v>
      </c>
      <c r="C107" s="2" t="s">
        <v>37</v>
      </c>
      <c r="D107" s="2">
        <v>29</v>
      </c>
      <c r="E107" s="2">
        <v>3</v>
      </c>
    </row>
    <row r="108" spans="2:11" x14ac:dyDescent="0.25">
      <c r="B108" s="2" t="s">
        <v>72</v>
      </c>
      <c r="C108" s="2" t="s">
        <v>36</v>
      </c>
      <c r="D108" s="2">
        <v>20</v>
      </c>
      <c r="E108" s="2">
        <v>7</v>
      </c>
    </row>
    <row r="109" spans="2:11" x14ac:dyDescent="0.25">
      <c r="B109" s="2" t="s">
        <v>72</v>
      </c>
      <c r="C109" s="2" t="s">
        <v>37</v>
      </c>
      <c r="D109" s="2">
        <v>21</v>
      </c>
      <c r="E109" s="2">
        <v>8</v>
      </c>
    </row>
    <row r="110" spans="2:11" x14ac:dyDescent="0.25">
      <c r="B110" s="2" t="s">
        <v>72</v>
      </c>
      <c r="C110" s="2" t="s">
        <v>36</v>
      </c>
      <c r="D110" s="2">
        <v>93</v>
      </c>
      <c r="E110" s="2">
        <v>8</v>
      </c>
    </row>
    <row r="111" spans="2:11" x14ac:dyDescent="0.25">
      <c r="B111" s="2" t="s">
        <v>72</v>
      </c>
      <c r="C111" s="2" t="s">
        <v>37</v>
      </c>
      <c r="D111" s="2">
        <v>105</v>
      </c>
      <c r="E111" s="2">
        <v>16</v>
      </c>
    </row>
    <row r="112" spans="2:11" x14ac:dyDescent="0.25">
      <c r="B112" s="2" t="s">
        <v>72</v>
      </c>
      <c r="C112" s="2" t="s">
        <v>36</v>
      </c>
      <c r="D112" s="2">
        <v>102</v>
      </c>
      <c r="E112" s="2">
        <v>6</v>
      </c>
    </row>
    <row r="113" spans="2:9" x14ac:dyDescent="0.25">
      <c r="B113" s="2" t="s">
        <v>72</v>
      </c>
      <c r="C113" s="2" t="s">
        <v>37</v>
      </c>
      <c r="D113" s="2">
        <v>141</v>
      </c>
      <c r="E113" s="2">
        <v>12</v>
      </c>
      <c r="G113" s="3" t="s">
        <v>46</v>
      </c>
    </row>
    <row r="114" spans="2:9" x14ac:dyDescent="0.25">
      <c r="B114" s="2" t="s">
        <v>87</v>
      </c>
      <c r="C114" s="2" t="s">
        <v>36</v>
      </c>
      <c r="D114" s="2">
        <v>6</v>
      </c>
      <c r="E114" s="2">
        <v>4</v>
      </c>
      <c r="G114" s="1" t="s">
        <v>41</v>
      </c>
      <c r="H114" s="5" t="s">
        <v>93</v>
      </c>
      <c r="I114" s="5" t="s">
        <v>94</v>
      </c>
    </row>
    <row r="115" spans="2:9" x14ac:dyDescent="0.25">
      <c r="B115" s="2" t="s">
        <v>87</v>
      </c>
      <c r="C115" s="2" t="s">
        <v>37</v>
      </c>
      <c r="D115" s="2">
        <v>10</v>
      </c>
      <c r="E115" s="2">
        <v>4</v>
      </c>
      <c r="G115" t="s">
        <v>97</v>
      </c>
      <c r="H115">
        <f>AVERAGE(D82:D97)</f>
        <v>86.3125</v>
      </c>
      <c r="I115">
        <f>STDEV(D82:D97)/SQRT(16)</f>
        <v>23.801211234935082</v>
      </c>
    </row>
    <row r="116" spans="2:9" x14ac:dyDescent="0.25">
      <c r="B116" s="2" t="s">
        <v>87</v>
      </c>
      <c r="C116" s="2" t="s">
        <v>36</v>
      </c>
      <c r="D116" s="2">
        <v>0</v>
      </c>
      <c r="E116" s="2">
        <v>0</v>
      </c>
      <c r="G116" t="s">
        <v>98</v>
      </c>
      <c r="H116">
        <f>AVERAGE(D98:D113)</f>
        <v>48.125</v>
      </c>
      <c r="I116">
        <f>STDEV(D98:D113)/SQRT(16)</f>
        <v>10.325887774585453</v>
      </c>
    </row>
    <row r="117" spans="2:9" x14ac:dyDescent="0.25">
      <c r="B117" s="2" t="s">
        <v>87</v>
      </c>
      <c r="C117" s="2" t="s">
        <v>37</v>
      </c>
      <c r="D117" s="2">
        <v>9</v>
      </c>
      <c r="E117" s="2">
        <v>6</v>
      </c>
      <c r="G117" t="s">
        <v>99</v>
      </c>
      <c r="H117">
        <f>AVERAGE(D114:D129)</f>
        <v>5.5625</v>
      </c>
      <c r="I117">
        <f>STDEV(D114:D129)/SQRT(16)</f>
        <v>0.91272828194740774</v>
      </c>
    </row>
    <row r="118" spans="2:9" x14ac:dyDescent="0.25">
      <c r="B118" s="2" t="s">
        <v>87</v>
      </c>
      <c r="C118" s="2" t="s">
        <v>36</v>
      </c>
      <c r="D118" s="2">
        <v>4</v>
      </c>
      <c r="E118" s="2">
        <v>3</v>
      </c>
    </row>
    <row r="119" spans="2:9" x14ac:dyDescent="0.25">
      <c r="B119" s="2" t="s">
        <v>87</v>
      </c>
      <c r="C119" s="2" t="s">
        <v>37</v>
      </c>
      <c r="D119" s="2">
        <v>3</v>
      </c>
      <c r="E119" s="2">
        <v>2</v>
      </c>
    </row>
    <row r="120" spans="2:9" x14ac:dyDescent="0.25">
      <c r="B120" s="2" t="s">
        <v>87</v>
      </c>
      <c r="C120" s="2" t="s">
        <v>36</v>
      </c>
      <c r="D120" s="2">
        <v>3</v>
      </c>
      <c r="E120" s="2">
        <v>3</v>
      </c>
    </row>
    <row r="121" spans="2:9" x14ac:dyDescent="0.25">
      <c r="B121" s="2" t="s">
        <v>87</v>
      </c>
      <c r="C121" s="2" t="s">
        <v>37</v>
      </c>
      <c r="D121" s="2">
        <v>4</v>
      </c>
      <c r="E121" s="2">
        <v>3</v>
      </c>
    </row>
    <row r="122" spans="2:9" x14ac:dyDescent="0.25">
      <c r="B122" s="2" t="s">
        <v>87</v>
      </c>
      <c r="C122" s="2" t="s">
        <v>36</v>
      </c>
      <c r="D122" s="2">
        <v>5</v>
      </c>
      <c r="E122" s="2">
        <v>4</v>
      </c>
    </row>
    <row r="123" spans="2:9" x14ac:dyDescent="0.25">
      <c r="B123" s="2" t="s">
        <v>87</v>
      </c>
      <c r="C123" s="2" t="s">
        <v>37</v>
      </c>
      <c r="D123" s="2">
        <v>5</v>
      </c>
      <c r="E123" s="2">
        <v>3</v>
      </c>
    </row>
    <row r="124" spans="2:9" x14ac:dyDescent="0.25">
      <c r="B124" s="2" t="s">
        <v>87</v>
      </c>
      <c r="C124" s="2" t="s">
        <v>36</v>
      </c>
      <c r="D124" s="2">
        <v>7</v>
      </c>
      <c r="E124" s="2">
        <v>5</v>
      </c>
    </row>
    <row r="125" spans="2:9" x14ac:dyDescent="0.25">
      <c r="B125" s="2" t="s">
        <v>87</v>
      </c>
      <c r="C125" s="2" t="s">
        <v>37</v>
      </c>
      <c r="D125" s="2">
        <v>4</v>
      </c>
      <c r="E125" s="2">
        <v>4</v>
      </c>
    </row>
    <row r="126" spans="2:9" x14ac:dyDescent="0.25">
      <c r="B126" s="2" t="s">
        <v>87</v>
      </c>
      <c r="C126" s="2" t="s">
        <v>36</v>
      </c>
      <c r="D126" s="2">
        <v>1</v>
      </c>
      <c r="E126" s="2">
        <v>1</v>
      </c>
    </row>
    <row r="127" spans="2:9" x14ac:dyDescent="0.25">
      <c r="B127" s="2" t="s">
        <v>87</v>
      </c>
      <c r="C127" s="2" t="s">
        <v>37</v>
      </c>
      <c r="D127" s="2">
        <v>10</v>
      </c>
      <c r="E127" s="2">
        <v>5</v>
      </c>
    </row>
    <row r="128" spans="2:9" x14ac:dyDescent="0.25">
      <c r="B128" s="2" t="s">
        <v>87</v>
      </c>
      <c r="C128" s="2" t="s">
        <v>36</v>
      </c>
      <c r="D128" s="2">
        <v>14</v>
      </c>
      <c r="E128" s="2">
        <v>6</v>
      </c>
    </row>
    <row r="129" spans="2:5" x14ac:dyDescent="0.25">
      <c r="B129" s="2" t="s">
        <v>87</v>
      </c>
      <c r="C129" s="2" t="s">
        <v>37</v>
      </c>
      <c r="D129" s="2">
        <v>4</v>
      </c>
      <c r="E129" s="2">
        <v>3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8DC0-45BD-4D9F-904E-3E6219ACF302}">
  <dimension ref="A1:AW72"/>
  <sheetViews>
    <sheetView workbookViewId="0">
      <selection sqref="A1:XFD1"/>
    </sheetView>
  </sheetViews>
  <sheetFormatPr defaultRowHeight="15" x14ac:dyDescent="0.25"/>
  <cols>
    <col min="1" max="1" width="34" bestFit="1" customWidth="1"/>
    <col min="2" max="2" width="11" bestFit="1" customWidth="1"/>
    <col min="3" max="3" width="11.140625" bestFit="1" customWidth="1"/>
    <col min="4" max="4" width="11" bestFit="1" customWidth="1"/>
    <col min="5" max="5" width="11.140625" bestFit="1" customWidth="1"/>
    <col min="6" max="6" width="11" bestFit="1" customWidth="1"/>
    <col min="7" max="7" width="11.140625" bestFit="1" customWidth="1"/>
    <col min="8" max="8" width="11" bestFit="1" customWidth="1"/>
    <col min="9" max="9" width="11.140625" bestFit="1" customWidth="1"/>
    <col min="10" max="10" width="11" bestFit="1" customWidth="1"/>
    <col min="11" max="11" width="11.140625" bestFit="1" customWidth="1"/>
    <col min="12" max="12" width="11" bestFit="1" customWidth="1"/>
    <col min="13" max="13" width="11.140625" bestFit="1" customWidth="1"/>
    <col min="14" max="14" width="11" bestFit="1" customWidth="1"/>
    <col min="15" max="15" width="11.140625" bestFit="1" customWidth="1"/>
    <col min="16" max="16" width="11" bestFit="1" customWidth="1"/>
    <col min="17" max="17" width="11.140625" bestFit="1" customWidth="1"/>
    <col min="18" max="18" width="8.28515625" bestFit="1" customWidth="1"/>
    <col min="19" max="19" width="11.140625" bestFit="1" customWidth="1"/>
    <col min="20" max="20" width="8.28515625" bestFit="1" customWidth="1"/>
    <col min="21" max="21" width="11.140625" bestFit="1" customWidth="1"/>
    <col min="22" max="22" width="8.28515625" bestFit="1" customWidth="1"/>
    <col min="23" max="23" width="11.140625" bestFit="1" customWidth="1"/>
    <col min="24" max="24" width="8.28515625" bestFit="1" customWidth="1"/>
    <col min="25" max="25" width="11.140625" bestFit="1" customWidth="1"/>
    <col min="26" max="26" width="8.28515625" bestFit="1" customWidth="1"/>
    <col min="27" max="27" width="11.140625" bestFit="1" customWidth="1"/>
    <col min="28" max="28" width="8.28515625" bestFit="1" customWidth="1"/>
    <col min="29" max="29" width="11.140625" bestFit="1" customWidth="1"/>
    <col min="30" max="30" width="8.28515625" bestFit="1" customWidth="1"/>
    <col min="31" max="31" width="11.140625" bestFit="1" customWidth="1"/>
    <col min="32" max="32" width="8.28515625" bestFit="1" customWidth="1"/>
    <col min="33" max="33" width="11.140625" bestFit="1" customWidth="1"/>
    <col min="34" max="34" width="7.42578125" bestFit="1" customWidth="1"/>
    <col min="35" max="35" width="11.140625" bestFit="1" customWidth="1"/>
    <col min="36" max="36" width="7.42578125" bestFit="1" customWidth="1"/>
    <col min="37" max="37" width="11.140625" bestFit="1" customWidth="1"/>
    <col min="38" max="38" width="7.42578125" bestFit="1" customWidth="1"/>
    <col min="39" max="39" width="11.140625" bestFit="1" customWidth="1"/>
    <col min="40" max="40" width="7.42578125" bestFit="1" customWidth="1"/>
    <col min="41" max="41" width="11.140625" bestFit="1" customWidth="1"/>
    <col min="42" max="42" width="7.42578125" bestFit="1" customWidth="1"/>
    <col min="43" max="43" width="11.140625" bestFit="1" customWidth="1"/>
    <col min="44" max="44" width="7.42578125" bestFit="1" customWidth="1"/>
    <col min="45" max="45" width="11.140625" bestFit="1" customWidth="1"/>
    <col min="46" max="46" width="7.42578125" bestFit="1" customWidth="1"/>
    <col min="47" max="47" width="11.140625" bestFit="1" customWidth="1"/>
    <col min="48" max="48" width="7.42578125" bestFit="1" customWidth="1"/>
    <col min="49" max="49" width="11.140625" bestFit="1" customWidth="1"/>
  </cols>
  <sheetData>
    <row r="1" spans="1:49" x14ac:dyDescent="0.25">
      <c r="A1" s="1" t="s">
        <v>0</v>
      </c>
      <c r="B1" s="2" t="s">
        <v>39</v>
      </c>
      <c r="C1" s="2" t="s">
        <v>40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57</v>
      </c>
      <c r="I1" s="2" t="s">
        <v>58</v>
      </c>
      <c r="J1" s="2" t="s">
        <v>60</v>
      </c>
      <c r="K1" s="2" t="s">
        <v>61</v>
      </c>
      <c r="L1" s="2" t="s">
        <v>63</v>
      </c>
      <c r="M1" s="2" t="s">
        <v>64</v>
      </c>
      <c r="N1" s="2" t="s">
        <v>66</v>
      </c>
      <c r="O1" s="2" t="s">
        <v>67</v>
      </c>
      <c r="P1" s="2" t="s">
        <v>69</v>
      </c>
      <c r="Q1" s="2" t="s">
        <v>70</v>
      </c>
      <c r="R1" s="2" t="s">
        <v>39</v>
      </c>
      <c r="S1" s="2" t="s">
        <v>40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57</v>
      </c>
      <c r="Y1" s="2" t="s">
        <v>58</v>
      </c>
      <c r="Z1" s="2" t="s">
        <v>60</v>
      </c>
      <c r="AA1" s="2" t="s">
        <v>61</v>
      </c>
      <c r="AB1" s="2" t="s">
        <v>63</v>
      </c>
      <c r="AC1" s="2" t="s">
        <v>64</v>
      </c>
      <c r="AD1" s="2" t="s">
        <v>66</v>
      </c>
      <c r="AE1" s="2" t="s">
        <v>67</v>
      </c>
      <c r="AF1" s="2" t="s">
        <v>69</v>
      </c>
      <c r="AG1" s="2" t="s">
        <v>70</v>
      </c>
      <c r="AH1" s="2" t="s">
        <v>39</v>
      </c>
      <c r="AI1" s="2" t="s">
        <v>40</v>
      </c>
      <c r="AJ1" s="2" t="s">
        <v>50</v>
      </c>
      <c r="AK1" s="2" t="s">
        <v>51</v>
      </c>
      <c r="AL1" s="2" t="s">
        <v>52</v>
      </c>
      <c r="AM1" s="2" t="s">
        <v>53</v>
      </c>
      <c r="AN1" s="2" t="s">
        <v>57</v>
      </c>
      <c r="AO1" s="2" t="s">
        <v>58</v>
      </c>
      <c r="AP1" s="2" t="s">
        <v>60</v>
      </c>
      <c r="AQ1" s="2" t="s">
        <v>61</v>
      </c>
      <c r="AR1" s="2" t="s">
        <v>63</v>
      </c>
      <c r="AS1" s="2" t="s">
        <v>64</v>
      </c>
      <c r="AT1" s="2" t="s">
        <v>66</v>
      </c>
      <c r="AU1" s="2" t="s">
        <v>67</v>
      </c>
      <c r="AV1" s="2" t="s">
        <v>69</v>
      </c>
      <c r="AW1" s="2" t="s">
        <v>70</v>
      </c>
    </row>
    <row r="2" spans="1:49" x14ac:dyDescent="0.25">
      <c r="A2" s="2" t="s">
        <v>1</v>
      </c>
      <c r="B2" s="2">
        <v>320</v>
      </c>
      <c r="C2" s="2">
        <v>18</v>
      </c>
      <c r="D2" s="2">
        <v>6</v>
      </c>
      <c r="E2" s="2">
        <v>17</v>
      </c>
      <c r="F2" s="2"/>
      <c r="G2" s="2"/>
      <c r="H2" s="2">
        <v>9</v>
      </c>
      <c r="I2" s="2"/>
      <c r="J2" s="2">
        <v>32</v>
      </c>
      <c r="K2" s="2">
        <v>40</v>
      </c>
      <c r="L2" s="2">
        <v>21</v>
      </c>
      <c r="M2" s="2">
        <v>108</v>
      </c>
      <c r="N2" s="2">
        <v>25</v>
      </c>
      <c r="O2" s="2"/>
      <c r="P2" s="2">
        <v>7</v>
      </c>
      <c r="Q2" s="2">
        <v>2</v>
      </c>
      <c r="R2" s="2"/>
      <c r="S2" s="2"/>
      <c r="T2" s="2">
        <v>40</v>
      </c>
      <c r="U2" s="2">
        <v>10</v>
      </c>
      <c r="V2" s="2"/>
      <c r="W2" s="2"/>
      <c r="X2" s="2">
        <v>15</v>
      </c>
      <c r="Y2" s="2">
        <v>6</v>
      </c>
      <c r="Z2" s="2">
        <v>61</v>
      </c>
      <c r="AA2" s="2">
        <v>26</v>
      </c>
      <c r="AB2" s="2">
        <v>11</v>
      </c>
      <c r="AC2" s="2">
        <v>8</v>
      </c>
      <c r="AD2" s="2">
        <v>36</v>
      </c>
      <c r="AE2" s="2">
        <v>8</v>
      </c>
      <c r="AF2" s="2">
        <v>91</v>
      </c>
      <c r="AG2" s="2">
        <v>113</v>
      </c>
      <c r="AH2" s="2"/>
      <c r="AI2" s="2">
        <v>7</v>
      </c>
      <c r="AJ2" s="2"/>
      <c r="AK2" s="2"/>
      <c r="AL2" s="2">
        <v>1</v>
      </c>
      <c r="AM2" s="2"/>
      <c r="AN2" s="2"/>
      <c r="AO2" s="2"/>
      <c r="AP2" s="2">
        <v>2</v>
      </c>
      <c r="AQ2" s="2"/>
      <c r="AR2" s="2"/>
      <c r="AS2" s="2"/>
      <c r="AT2" s="2"/>
      <c r="AU2" s="2"/>
      <c r="AV2" s="2"/>
      <c r="AW2" s="2"/>
    </row>
    <row r="3" spans="1:4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>
        <v>5</v>
      </c>
      <c r="S3" s="2">
        <v>36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x14ac:dyDescent="0.25">
      <c r="A4" s="2" t="s">
        <v>3</v>
      </c>
      <c r="B4" s="2">
        <v>38</v>
      </c>
      <c r="C4" s="2"/>
      <c r="D4" s="2">
        <v>49</v>
      </c>
      <c r="E4" s="2">
        <v>12</v>
      </c>
      <c r="F4" s="2">
        <v>95</v>
      </c>
      <c r="G4" s="2">
        <v>203</v>
      </c>
      <c r="H4" s="2"/>
      <c r="I4" s="2"/>
      <c r="J4" s="2"/>
      <c r="K4" s="2"/>
      <c r="L4" s="2"/>
      <c r="M4" s="2">
        <v>12</v>
      </c>
      <c r="N4" s="2"/>
      <c r="O4" s="2">
        <v>21</v>
      </c>
      <c r="P4" s="2">
        <v>3</v>
      </c>
      <c r="Q4" s="2"/>
      <c r="R4" s="2"/>
      <c r="S4" s="2">
        <v>1</v>
      </c>
      <c r="T4" s="2"/>
      <c r="U4" s="2"/>
      <c r="V4" s="2">
        <v>5</v>
      </c>
      <c r="W4" s="2">
        <v>16</v>
      </c>
      <c r="X4" s="2"/>
      <c r="Y4" s="2"/>
      <c r="Z4" s="2"/>
      <c r="AA4" s="2"/>
      <c r="AB4" s="2"/>
      <c r="AC4" s="2"/>
      <c r="AD4" s="2"/>
      <c r="AE4" s="2">
        <v>38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x14ac:dyDescent="0.25">
      <c r="A5" s="2" t="s">
        <v>4</v>
      </c>
      <c r="B5" s="2"/>
      <c r="C5" s="2">
        <v>1</v>
      </c>
      <c r="D5" s="2">
        <v>8</v>
      </c>
      <c r="E5" s="2"/>
      <c r="F5" s="2"/>
      <c r="G5" s="2"/>
      <c r="H5" s="2">
        <v>1</v>
      </c>
      <c r="I5" s="2"/>
      <c r="J5" s="2"/>
      <c r="K5" s="2">
        <v>2</v>
      </c>
      <c r="L5" s="2">
        <v>1</v>
      </c>
      <c r="M5" s="2"/>
      <c r="N5" s="2"/>
      <c r="O5" s="2"/>
      <c r="P5" s="2">
        <v>5</v>
      </c>
      <c r="Q5" s="2">
        <v>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23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>
        <v>1</v>
      </c>
    </row>
    <row r="7" spans="1:49" x14ac:dyDescent="0.25">
      <c r="A7" s="2" t="s">
        <v>6</v>
      </c>
      <c r="B7" s="2"/>
      <c r="C7" s="2"/>
      <c r="D7" s="2">
        <v>1</v>
      </c>
      <c r="E7" s="2">
        <v>93</v>
      </c>
      <c r="F7" s="2"/>
      <c r="G7" s="2"/>
      <c r="H7" s="2">
        <v>20</v>
      </c>
      <c r="I7" s="2"/>
      <c r="J7" s="2"/>
      <c r="K7" s="2"/>
      <c r="L7" s="2"/>
      <c r="M7" s="2">
        <v>23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v>3</v>
      </c>
      <c r="Z7" s="2"/>
      <c r="AA7" s="2"/>
      <c r="AB7" s="2"/>
      <c r="AC7" s="2"/>
      <c r="AD7" s="2"/>
      <c r="AE7" s="2">
        <v>6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x14ac:dyDescent="0.25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>
        <v>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x14ac:dyDescent="0.25">
      <c r="A9" s="2" t="s">
        <v>54</v>
      </c>
      <c r="B9" s="2"/>
      <c r="C9" s="2"/>
      <c r="D9" s="2"/>
      <c r="E9" s="2"/>
      <c r="F9" s="2"/>
      <c r="G9" s="2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x14ac:dyDescent="0.25">
      <c r="A10" s="2" t="s">
        <v>71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v>4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x14ac:dyDescent="0.25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v>1</v>
      </c>
      <c r="Q11" s="2"/>
      <c r="R11" s="2"/>
      <c r="S11" s="2">
        <v>1</v>
      </c>
      <c r="T11" s="2"/>
      <c r="U11" s="2"/>
      <c r="V11" s="2"/>
      <c r="W11" s="2">
        <v>1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x14ac:dyDescent="0.25">
      <c r="A12" s="2" t="s">
        <v>79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1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x14ac:dyDescent="0.25">
      <c r="A13" s="2" t="s">
        <v>9</v>
      </c>
      <c r="B13" s="2">
        <v>11</v>
      </c>
      <c r="C13" s="2">
        <v>8</v>
      </c>
      <c r="D13" s="2">
        <v>11</v>
      </c>
      <c r="E13" s="2">
        <v>5</v>
      </c>
      <c r="F13" s="2">
        <v>5</v>
      </c>
      <c r="G13" s="2"/>
      <c r="H13" s="2">
        <v>2</v>
      </c>
      <c r="I13" s="2"/>
      <c r="J13" s="2">
        <v>1</v>
      </c>
      <c r="K13" s="2">
        <v>2</v>
      </c>
      <c r="L13" s="2">
        <v>3</v>
      </c>
      <c r="M13" s="2"/>
      <c r="N13" s="2"/>
      <c r="O13" s="2"/>
      <c r="P13" s="2">
        <v>4</v>
      </c>
      <c r="Q13" s="2"/>
      <c r="R13" s="2"/>
      <c r="S13" s="2">
        <v>1</v>
      </c>
      <c r="T13" s="2">
        <v>2</v>
      </c>
      <c r="U13" s="2"/>
      <c r="V13" s="2"/>
      <c r="W13" s="2"/>
      <c r="X13" s="2"/>
      <c r="Y13" s="2"/>
      <c r="Z13" s="2"/>
      <c r="AA13" s="2"/>
      <c r="AB13" s="2"/>
      <c r="AC13" s="2"/>
      <c r="AD13" s="2">
        <v>7</v>
      </c>
      <c r="AE13" s="2">
        <v>4</v>
      </c>
      <c r="AF13" s="2">
        <v>4</v>
      </c>
      <c r="AG13" s="2">
        <v>3</v>
      </c>
      <c r="AH13" s="2">
        <v>2</v>
      </c>
      <c r="AI13" s="2">
        <v>1</v>
      </c>
      <c r="AJ13" s="2"/>
      <c r="AK13" s="2">
        <v>1</v>
      </c>
      <c r="AL13" s="2"/>
      <c r="AM13" s="2">
        <v>2</v>
      </c>
      <c r="AN13" s="2"/>
      <c r="AO13" s="2"/>
      <c r="AP13" s="2">
        <v>1</v>
      </c>
      <c r="AQ13" s="2">
        <v>2</v>
      </c>
      <c r="AR13" s="2"/>
      <c r="AS13" s="2"/>
      <c r="AT13" s="2"/>
      <c r="AU13" s="2"/>
      <c r="AV13" s="2"/>
      <c r="AW13" s="2"/>
    </row>
    <row r="14" spans="1:49" x14ac:dyDescent="0.25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2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x14ac:dyDescent="0.25">
      <c r="A15" s="2" t="s">
        <v>11</v>
      </c>
      <c r="B15" s="2"/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>
        <v>2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x14ac:dyDescent="0.25">
      <c r="A16" s="2" t="s">
        <v>12</v>
      </c>
      <c r="B16" s="2">
        <v>2</v>
      </c>
      <c r="C16" s="2"/>
      <c r="D16" s="2">
        <v>2</v>
      </c>
      <c r="E16" s="2">
        <v>3</v>
      </c>
      <c r="F16" s="2"/>
      <c r="G16" s="2">
        <v>3</v>
      </c>
      <c r="H16" s="2">
        <v>1</v>
      </c>
      <c r="I16" s="2"/>
      <c r="J16" s="2"/>
      <c r="K16" s="2"/>
      <c r="L16" s="2"/>
      <c r="M16" s="2"/>
      <c r="N16" s="2">
        <v>1</v>
      </c>
      <c r="O16" s="2">
        <v>3</v>
      </c>
      <c r="P16" s="2"/>
      <c r="Q16" s="2">
        <v>1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>
        <v>1</v>
      </c>
      <c r="AC16" s="2"/>
      <c r="AD16" s="2"/>
      <c r="AE16" s="2">
        <v>1</v>
      </c>
      <c r="AF16" s="2">
        <v>1</v>
      </c>
      <c r="AG16" s="2"/>
      <c r="AH16" s="2"/>
      <c r="AI16" s="2"/>
      <c r="AJ16" s="2"/>
      <c r="AK16" s="2">
        <v>1</v>
      </c>
      <c r="AL16" s="2"/>
      <c r="AM16" s="2">
        <v>1</v>
      </c>
      <c r="AN16" s="2"/>
      <c r="AO16" s="2"/>
      <c r="AP16" s="2"/>
      <c r="AQ16" s="2"/>
      <c r="AR16" s="2">
        <v>1</v>
      </c>
      <c r="AS16" s="2"/>
      <c r="AT16" s="2"/>
      <c r="AU16" s="2"/>
      <c r="AV16" s="2"/>
      <c r="AW16" s="2"/>
    </row>
    <row r="17" spans="1:49" x14ac:dyDescent="0.25">
      <c r="A17" s="2" t="s">
        <v>77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1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x14ac:dyDescent="0.25">
      <c r="A18" s="2" t="s">
        <v>13</v>
      </c>
      <c r="B18" s="2"/>
      <c r="C18" s="2">
        <v>2</v>
      </c>
      <c r="D18" s="2">
        <v>2</v>
      </c>
      <c r="E18" s="2"/>
      <c r="F18" s="2">
        <v>2</v>
      </c>
      <c r="G18" s="2"/>
      <c r="H18" s="2"/>
      <c r="I18" s="2"/>
      <c r="J18" s="2"/>
      <c r="K18" s="2"/>
      <c r="L18" s="2"/>
      <c r="M18" s="2"/>
      <c r="N18" s="2"/>
      <c r="O18" s="2">
        <v>2</v>
      </c>
      <c r="P18" s="2">
        <v>1</v>
      </c>
      <c r="Q18" s="2">
        <v>3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>
        <v>1</v>
      </c>
      <c r="AC18" s="2">
        <v>1</v>
      </c>
      <c r="AD18" s="2">
        <v>2</v>
      </c>
      <c r="AE18" s="2">
        <v>1</v>
      </c>
      <c r="AF18" s="2"/>
      <c r="AG18" s="2">
        <v>1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x14ac:dyDescent="0.25">
      <c r="A19" s="2" t="s">
        <v>49</v>
      </c>
      <c r="B19" s="2"/>
      <c r="C19" s="2">
        <v>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x14ac:dyDescent="0.25">
      <c r="A20" s="2" t="s">
        <v>55</v>
      </c>
      <c r="B20" s="2"/>
      <c r="C20" s="2"/>
      <c r="D20" s="2"/>
      <c r="E20" s="2"/>
      <c r="F20" s="2"/>
      <c r="G20" s="2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x14ac:dyDescent="0.25">
      <c r="A21" s="2" t="s">
        <v>14</v>
      </c>
      <c r="B21" s="2"/>
      <c r="C21" s="2"/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x14ac:dyDescent="0.25">
      <c r="A22" s="2" t="s">
        <v>15</v>
      </c>
      <c r="B22" s="2"/>
      <c r="C22" s="2"/>
      <c r="D22" s="2"/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x14ac:dyDescent="0.25">
      <c r="A23" s="2" t="s">
        <v>91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>
        <v>1</v>
      </c>
      <c r="AT23" s="2"/>
      <c r="AU23" s="2"/>
      <c r="AV23" s="2"/>
      <c r="AW23" s="2"/>
    </row>
    <row r="24" spans="1:49" x14ac:dyDescent="0.25">
      <c r="A24" s="2" t="s">
        <v>16</v>
      </c>
      <c r="B24" s="2"/>
      <c r="C24" s="2"/>
      <c r="D24" s="2">
        <v>2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>
        <v>2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x14ac:dyDescent="0.25">
      <c r="A25" s="2" t="s">
        <v>17</v>
      </c>
      <c r="B25" s="2"/>
      <c r="C25" s="2">
        <v>2</v>
      </c>
      <c r="D25" s="2"/>
      <c r="E25" s="2">
        <v>1</v>
      </c>
      <c r="F25" s="2"/>
      <c r="G25" s="2"/>
      <c r="H25" s="2"/>
      <c r="I25" s="2"/>
      <c r="J25" s="2"/>
      <c r="K25" s="2"/>
      <c r="L25" s="2"/>
      <c r="M25" s="2">
        <v>1</v>
      </c>
      <c r="N25" s="2"/>
      <c r="O25" s="2">
        <v>1</v>
      </c>
      <c r="P25" s="2">
        <v>1</v>
      </c>
      <c r="Q25" s="2"/>
      <c r="R25" s="2">
        <v>4</v>
      </c>
      <c r="S25" s="2">
        <v>3</v>
      </c>
      <c r="T25" s="2">
        <v>1</v>
      </c>
      <c r="U25" s="2">
        <v>1</v>
      </c>
      <c r="V25" s="2">
        <v>3</v>
      </c>
      <c r="W25" s="2">
        <v>2</v>
      </c>
      <c r="X25" s="2"/>
      <c r="Y25" s="2">
        <v>1</v>
      </c>
      <c r="Z25" s="2"/>
      <c r="AA25" s="2">
        <v>2</v>
      </c>
      <c r="AB25" s="2">
        <v>1</v>
      </c>
      <c r="AC25" s="2">
        <v>6</v>
      </c>
      <c r="AD25" s="2">
        <v>9</v>
      </c>
      <c r="AE25" s="2">
        <v>17</v>
      </c>
      <c r="AF25" s="2">
        <v>4</v>
      </c>
      <c r="AG25" s="2">
        <v>5</v>
      </c>
      <c r="AH25" s="2"/>
      <c r="AI25" s="2">
        <v>1</v>
      </c>
      <c r="AJ25" s="2"/>
      <c r="AK25" s="2"/>
      <c r="AL25" s="2"/>
      <c r="AM25" s="2"/>
      <c r="AN25" s="2">
        <v>1</v>
      </c>
      <c r="AO25" s="2"/>
      <c r="AP25" s="2"/>
      <c r="AQ25" s="2">
        <v>1</v>
      </c>
      <c r="AR25" s="2">
        <v>1</v>
      </c>
      <c r="AS25" s="2"/>
      <c r="AT25" s="2"/>
      <c r="AU25" s="2"/>
      <c r="AV25" s="2"/>
      <c r="AW25" s="2">
        <v>2</v>
      </c>
    </row>
    <row r="26" spans="1:49" x14ac:dyDescent="0.25">
      <c r="A26" s="2" t="s">
        <v>18</v>
      </c>
      <c r="B26" s="2">
        <v>1</v>
      </c>
      <c r="C26" s="2"/>
      <c r="D26" s="2"/>
      <c r="E26" s="2">
        <v>2</v>
      </c>
      <c r="F26" s="2"/>
      <c r="G26" s="2"/>
      <c r="H26" s="2">
        <v>2</v>
      </c>
      <c r="I26" s="2"/>
      <c r="J26" s="2">
        <v>1</v>
      </c>
      <c r="K26" s="2">
        <v>2</v>
      </c>
      <c r="L26" s="2"/>
      <c r="M26" s="2"/>
      <c r="N26" s="2"/>
      <c r="O26" s="2"/>
      <c r="P26" s="2"/>
      <c r="Q26" s="2">
        <v>1</v>
      </c>
      <c r="R26" s="2">
        <v>1</v>
      </c>
      <c r="S26" s="2"/>
      <c r="T26" s="2"/>
      <c r="U26" s="2">
        <v>1</v>
      </c>
      <c r="V26" s="2"/>
      <c r="W26" s="2">
        <v>2</v>
      </c>
      <c r="X26" s="2">
        <v>1</v>
      </c>
      <c r="Y26" s="2"/>
      <c r="Z26" s="2">
        <v>2</v>
      </c>
      <c r="AA26" s="2">
        <v>1</v>
      </c>
      <c r="AB26" s="2">
        <v>1</v>
      </c>
      <c r="AC26" s="2"/>
      <c r="AD26" s="2">
        <v>34</v>
      </c>
      <c r="AE26" s="2">
        <v>4</v>
      </c>
      <c r="AF26" s="2">
        <v>1</v>
      </c>
      <c r="AG26" s="2">
        <v>3</v>
      </c>
      <c r="AH26" s="2">
        <v>1</v>
      </c>
      <c r="AI26" s="2">
        <v>1</v>
      </c>
      <c r="AJ26" s="2"/>
      <c r="AK26" s="2">
        <v>1</v>
      </c>
      <c r="AL26" s="2"/>
      <c r="AM26" s="2"/>
      <c r="AN26" s="2"/>
      <c r="AO26" s="2">
        <v>2</v>
      </c>
      <c r="AP26" s="2"/>
      <c r="AQ26" s="2">
        <v>2</v>
      </c>
      <c r="AR26" s="2">
        <v>1</v>
      </c>
      <c r="AS26" s="2">
        <v>1</v>
      </c>
      <c r="AT26" s="2"/>
      <c r="AU26" s="2"/>
      <c r="AV26" s="2"/>
      <c r="AW26" s="2"/>
    </row>
    <row r="27" spans="1:49" x14ac:dyDescent="0.25">
      <c r="A27" s="2" t="s">
        <v>19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>
        <v>1</v>
      </c>
      <c r="T27" s="2"/>
      <c r="U27" s="2"/>
      <c r="V27" s="2"/>
      <c r="W27" s="2"/>
      <c r="X27" s="2">
        <v>1</v>
      </c>
      <c r="Y27" s="2"/>
      <c r="Z27" s="2"/>
      <c r="AA27" s="2"/>
      <c r="AB27" s="2"/>
      <c r="AC27" s="2"/>
      <c r="AD27" s="2"/>
      <c r="AE27" s="2"/>
      <c r="AF27" s="2"/>
      <c r="AG27" s="2">
        <v>3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x14ac:dyDescent="0.25">
      <c r="A28" s="2" t="s">
        <v>47</v>
      </c>
      <c r="B28" s="2"/>
      <c r="C28" s="2">
        <v>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v>1</v>
      </c>
      <c r="U28" s="2">
        <v>3</v>
      </c>
      <c r="V28" s="2"/>
      <c r="W28" s="2">
        <v>3</v>
      </c>
      <c r="X28" s="2"/>
      <c r="Y28" s="2"/>
      <c r="Z28" s="2"/>
      <c r="AA28" s="2"/>
      <c r="AB28" s="2"/>
      <c r="AC28" s="2"/>
      <c r="AD28" s="2"/>
      <c r="AE28" s="2"/>
      <c r="AF28" s="2"/>
      <c r="AG28" s="2">
        <v>4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x14ac:dyDescent="0.25">
      <c r="A29" s="2" t="s">
        <v>20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>
        <v>3</v>
      </c>
      <c r="AS29" s="2"/>
      <c r="AT29" s="2"/>
      <c r="AU29" s="2"/>
      <c r="AV29" s="2"/>
      <c r="AW29" s="2"/>
    </row>
    <row r="30" spans="1:49" x14ac:dyDescent="0.25">
      <c r="A30" s="2" t="s">
        <v>21</v>
      </c>
      <c r="B30" s="2"/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v>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x14ac:dyDescent="0.25">
      <c r="A31" s="2" t="s">
        <v>22</v>
      </c>
      <c r="B31" s="2"/>
      <c r="C31" s="2"/>
      <c r="D31" s="2">
        <v>4</v>
      </c>
      <c r="E31" s="2">
        <v>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v>5</v>
      </c>
      <c r="Q31" s="2">
        <v>5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>
        <v>4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x14ac:dyDescent="0.25">
      <c r="A32" s="2" t="s">
        <v>43</v>
      </c>
      <c r="B32" s="2">
        <v>1</v>
      </c>
      <c r="C32" s="2">
        <v>1</v>
      </c>
      <c r="D32" s="2"/>
      <c r="E32" s="2"/>
      <c r="F32" s="2"/>
      <c r="G32" s="2"/>
      <c r="H32" s="2"/>
      <c r="I32" s="2"/>
      <c r="J32" s="2">
        <v>3</v>
      </c>
      <c r="K32" s="2">
        <v>1</v>
      </c>
      <c r="L32" s="2">
        <v>7</v>
      </c>
      <c r="M32" s="2"/>
      <c r="N32" s="2"/>
      <c r="O32" s="2"/>
      <c r="P32" s="2"/>
      <c r="Q32" s="2"/>
      <c r="R32" s="2"/>
      <c r="S32" s="2"/>
      <c r="T32" s="2"/>
      <c r="U32" s="2">
        <v>1</v>
      </c>
      <c r="V32" s="2"/>
      <c r="W32" s="2"/>
      <c r="X32" s="2"/>
      <c r="Y32" s="2"/>
      <c r="Z32" s="2"/>
      <c r="AA32" s="2"/>
      <c r="AB32" s="2"/>
      <c r="AC32" s="2"/>
      <c r="AD32" s="2">
        <v>1</v>
      </c>
      <c r="AE32" s="2"/>
      <c r="AF32" s="2"/>
      <c r="AG32" s="2">
        <v>2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x14ac:dyDescent="0.25">
      <c r="A33" s="2" t="s">
        <v>23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>
        <v>1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>
        <v>1</v>
      </c>
      <c r="AV33" s="2"/>
      <c r="AW33" s="2"/>
    </row>
    <row r="34" spans="1:49" x14ac:dyDescent="0.25">
      <c r="A34" s="2" t="s">
        <v>44</v>
      </c>
      <c r="B34" s="2">
        <v>1</v>
      </c>
      <c r="C34" s="2"/>
      <c r="D34" s="2"/>
      <c r="E34" s="2">
        <v>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>
        <v>1</v>
      </c>
      <c r="T34" s="2">
        <v>1</v>
      </c>
      <c r="U34" s="2"/>
      <c r="V34" s="2"/>
      <c r="W34" s="2"/>
      <c r="X34" s="2"/>
      <c r="Y34" s="2"/>
      <c r="Z34" s="2">
        <v>5</v>
      </c>
      <c r="AA34" s="2"/>
      <c r="AB34" s="2"/>
      <c r="AC34" s="2"/>
      <c r="AD34" s="2"/>
      <c r="AE34" s="2"/>
      <c r="AF34" s="2"/>
      <c r="AG34" s="2"/>
      <c r="AH34" s="2">
        <v>1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x14ac:dyDescent="0.25">
      <c r="A35" s="2" t="s">
        <v>45</v>
      </c>
      <c r="B35" s="2"/>
      <c r="C35" s="2"/>
      <c r="D35" s="2"/>
      <c r="E35" s="2">
        <v>1</v>
      </c>
      <c r="F35" s="2"/>
      <c r="G35" s="2"/>
      <c r="H35" s="2"/>
      <c r="I35" s="2"/>
      <c r="J35" s="2">
        <v>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>
        <v>1</v>
      </c>
      <c r="V35" s="2"/>
      <c r="W35" s="2">
        <v>3</v>
      </c>
      <c r="X35" s="2"/>
      <c r="Y35" s="2">
        <v>1</v>
      </c>
      <c r="Z35" s="2"/>
      <c r="AA35" s="2"/>
      <c r="AB35" s="2"/>
      <c r="AC35" s="2"/>
      <c r="AD35" s="2"/>
      <c r="AE35" s="2">
        <v>1</v>
      </c>
      <c r="AF35" s="2">
        <v>1</v>
      </c>
      <c r="AG35" s="2">
        <v>1</v>
      </c>
      <c r="AH35" s="2">
        <v>2</v>
      </c>
      <c r="AI35" s="2"/>
      <c r="AJ35" s="2"/>
      <c r="AK35" s="2">
        <v>2</v>
      </c>
      <c r="AL35" s="2">
        <v>2</v>
      </c>
      <c r="AM35" s="2"/>
      <c r="AN35" s="2"/>
      <c r="AO35" s="2"/>
      <c r="AP35" s="2"/>
      <c r="AQ35" s="2"/>
      <c r="AR35" s="2"/>
      <c r="AS35" s="2"/>
      <c r="AT35" s="2"/>
      <c r="AU35" s="2">
        <v>1</v>
      </c>
      <c r="AV35" s="2">
        <v>1</v>
      </c>
      <c r="AW35" s="2"/>
    </row>
    <row r="36" spans="1:49" x14ac:dyDescent="0.25">
      <c r="A36" s="2" t="s">
        <v>88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>
        <v>3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x14ac:dyDescent="0.25">
      <c r="A37" s="2" t="s">
        <v>89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>
        <v>1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x14ac:dyDescent="0.25">
      <c r="A38" s="2" t="s">
        <v>24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v>1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x14ac:dyDescent="0.25">
      <c r="A39" s="2" t="s">
        <v>25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>
        <v>1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>
        <v>1</v>
      </c>
      <c r="AW39" s="2"/>
    </row>
    <row r="40" spans="1:49" x14ac:dyDescent="0.25">
      <c r="A40" s="2" t="s">
        <v>26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>
        <v>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x14ac:dyDescent="0.25">
      <c r="A41" s="2" t="s">
        <v>73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>
        <v>4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>
        <v>1</v>
      </c>
      <c r="AT41" s="2"/>
      <c r="AU41" s="2"/>
      <c r="AV41" s="2"/>
      <c r="AW41" s="2"/>
    </row>
    <row r="42" spans="1:49" x14ac:dyDescent="0.25">
      <c r="A42" s="2" t="s">
        <v>27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1</v>
      </c>
      <c r="Z42" s="2"/>
      <c r="AA42" s="2"/>
      <c r="AB42" s="2"/>
      <c r="AC42" s="2"/>
      <c r="AD42" s="2"/>
      <c r="AE42" s="2"/>
      <c r="AF42" s="2"/>
      <c r="AG42" s="2">
        <v>4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x14ac:dyDescent="0.25">
      <c r="A43" s="2" t="s">
        <v>48</v>
      </c>
      <c r="B43" s="2"/>
      <c r="C43" s="2">
        <v>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x14ac:dyDescent="0.25">
      <c r="A44" s="2" t="s">
        <v>28</v>
      </c>
      <c r="B44" s="2"/>
      <c r="C44" s="2">
        <v>1</v>
      </c>
      <c r="D44" s="2"/>
      <c r="E44" s="2"/>
      <c r="F44" s="2"/>
      <c r="G44" s="2"/>
      <c r="H44" s="2"/>
      <c r="I44" s="2"/>
      <c r="J44" s="2"/>
      <c r="K44" s="2"/>
      <c r="L44" s="2">
        <v>1</v>
      </c>
      <c r="M44" s="2">
        <v>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>
        <v>1</v>
      </c>
      <c r="AP44" s="2"/>
      <c r="AQ44" s="2"/>
      <c r="AR44" s="2"/>
      <c r="AS44" s="2"/>
      <c r="AT44" s="2"/>
      <c r="AU44" s="2"/>
      <c r="AV44" s="2"/>
      <c r="AW44" s="2"/>
    </row>
    <row r="45" spans="1:49" x14ac:dyDescent="0.25">
      <c r="A45" s="2" t="s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>
        <v>1</v>
      </c>
      <c r="AU45" s="2">
        <v>1</v>
      </c>
      <c r="AV45" s="2"/>
      <c r="AW45" s="2"/>
    </row>
    <row r="46" spans="1:49" x14ac:dyDescent="0.25">
      <c r="A46" s="2" t="s">
        <v>65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>
        <v>1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x14ac:dyDescent="0.25">
      <c r="A47" s="2" t="s">
        <v>30</v>
      </c>
      <c r="B47" s="2"/>
      <c r="C47" s="2"/>
      <c r="D47" s="2"/>
      <c r="E47" s="2"/>
      <c r="F47" s="2"/>
      <c r="G47" s="2"/>
      <c r="H47" s="2"/>
      <c r="I47" s="2"/>
      <c r="J47" s="2">
        <v>1</v>
      </c>
      <c r="K47" s="2">
        <v>1</v>
      </c>
      <c r="L47" s="2"/>
      <c r="M47" s="2">
        <v>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>
        <v>1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>
        <v>1</v>
      </c>
      <c r="AQ47" s="2"/>
      <c r="AR47" s="2"/>
      <c r="AS47" s="2"/>
      <c r="AT47" s="2"/>
      <c r="AU47" s="2">
        <v>3</v>
      </c>
      <c r="AV47" s="2"/>
      <c r="AW47" s="2"/>
    </row>
    <row r="48" spans="1:49" x14ac:dyDescent="0.25">
      <c r="A48" s="2" t="s">
        <v>78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>
        <v>1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x14ac:dyDescent="0.25">
      <c r="A49" s="2" t="s">
        <v>68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>
        <v>2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x14ac:dyDescent="0.25">
      <c r="A50" s="2" t="s">
        <v>31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>
        <v>1</v>
      </c>
      <c r="AT50" s="2"/>
      <c r="AU50" s="2"/>
      <c r="AV50" s="2">
        <v>6</v>
      </c>
      <c r="AW50" s="2"/>
    </row>
    <row r="51" spans="1:49" x14ac:dyDescent="0.25">
      <c r="A51" s="2" t="s">
        <v>27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>
        <v>4</v>
      </c>
      <c r="AV51" s="2">
        <v>2</v>
      </c>
      <c r="AW51" s="2"/>
    </row>
    <row r="52" spans="1:49" x14ac:dyDescent="0.25">
      <c r="A52" s="2" t="s">
        <v>83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>
        <v>2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x14ac:dyDescent="0.25">
      <c r="A53" s="2" t="s">
        <v>59</v>
      </c>
      <c r="B53" s="2"/>
      <c r="C53" s="2"/>
      <c r="D53" s="2"/>
      <c r="E53" s="2"/>
      <c r="F53" s="2"/>
      <c r="G53" s="2"/>
      <c r="H53" s="2">
        <v>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x14ac:dyDescent="0.25">
      <c r="A54" s="2" t="s">
        <v>56</v>
      </c>
      <c r="B54" s="2"/>
      <c r="C54" s="2"/>
      <c r="D54" s="2"/>
      <c r="E54" s="2"/>
      <c r="F54" s="2"/>
      <c r="G54" s="2">
        <v>1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x14ac:dyDescent="0.25">
      <c r="A55" s="2" t="s">
        <v>76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>
        <v>1</v>
      </c>
      <c r="AC55" s="2">
        <v>2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>
        <v>1</v>
      </c>
      <c r="AO55" s="2"/>
      <c r="AP55" s="2"/>
      <c r="AQ55" s="2"/>
      <c r="AR55" s="2"/>
      <c r="AS55" s="2"/>
      <c r="AT55" s="2"/>
      <c r="AU55" s="2"/>
      <c r="AV55" s="2"/>
      <c r="AW55" s="2"/>
    </row>
    <row r="56" spans="1:49" x14ac:dyDescent="0.25">
      <c r="A56" s="2" t="s">
        <v>74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1</v>
      </c>
      <c r="AA56" s="2"/>
      <c r="AB56" s="2"/>
      <c r="AC56" s="2"/>
      <c r="AD56" s="2"/>
      <c r="AE56" s="2">
        <v>1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x14ac:dyDescent="0.25">
      <c r="A57" s="2" t="s">
        <v>82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>
        <v>14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>
        <v>1</v>
      </c>
      <c r="AS57" s="2"/>
      <c r="AT57" s="2"/>
      <c r="AU57" s="2"/>
      <c r="AV57" s="2"/>
      <c r="AW57" s="2"/>
    </row>
    <row r="58" spans="1:49" x14ac:dyDescent="0.25">
      <c r="A58" s="2" t="s">
        <v>75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>
        <v>4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x14ac:dyDescent="0.25">
      <c r="A59" s="2" t="s">
        <v>90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>
        <v>1</v>
      </c>
      <c r="AQ59" s="2"/>
      <c r="AR59" s="2"/>
      <c r="AS59" s="2"/>
      <c r="AT59" s="2"/>
      <c r="AU59" s="2"/>
      <c r="AV59" s="2"/>
      <c r="AW59" s="2"/>
    </row>
    <row r="60" spans="1:49" x14ac:dyDescent="0.25">
      <c r="A60" s="2" t="s">
        <v>86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>
        <v>1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x14ac:dyDescent="0.25">
      <c r="A61" s="2" t="s">
        <v>32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>
        <v>1</v>
      </c>
    </row>
    <row r="62" spans="1:49" x14ac:dyDescent="0.25">
      <c r="A62" s="2" t="s">
        <v>80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>
        <v>2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x14ac:dyDescent="0.25">
      <c r="A63" s="2" t="s">
        <v>33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>
        <v>1</v>
      </c>
      <c r="AO63" s="2"/>
      <c r="AP63" s="2"/>
      <c r="AQ63" s="2"/>
      <c r="AR63" s="2"/>
      <c r="AS63" s="2"/>
      <c r="AT63" s="2"/>
      <c r="AU63" s="2"/>
      <c r="AV63" s="2"/>
      <c r="AW63" s="2"/>
    </row>
    <row r="64" spans="1:49" x14ac:dyDescent="0.25">
      <c r="A64" s="2" t="s">
        <v>85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>
        <v>1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x14ac:dyDescent="0.25">
      <c r="A65" s="2" t="s">
        <v>81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>
        <v>1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x14ac:dyDescent="0.25">
      <c r="A66" s="2" t="s">
        <v>84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>
        <v>1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x14ac:dyDescent="0.25">
      <c r="A67" s="2" t="s">
        <v>34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>
        <v>3</v>
      </c>
      <c r="AW67" s="2"/>
    </row>
    <row r="68" spans="1:49" x14ac:dyDescent="0.25">
      <c r="A68" s="2" t="s">
        <v>62</v>
      </c>
      <c r="B68" s="2"/>
      <c r="C68" s="2"/>
      <c r="D68" s="2"/>
      <c r="E68" s="2"/>
      <c r="F68" s="2"/>
      <c r="G68" s="2"/>
      <c r="H68" s="2"/>
      <c r="I68" s="2"/>
      <c r="J68" s="2">
        <v>1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>
        <v>1</v>
      </c>
      <c r="AW68" s="2"/>
    </row>
    <row r="69" spans="1:49" x14ac:dyDescent="0.25">
      <c r="A69" s="2" t="s">
        <v>35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>
        <v>1</v>
      </c>
      <c r="AP69" s="2"/>
      <c r="AQ69" s="2"/>
      <c r="AR69" s="2"/>
      <c r="AS69" s="2"/>
      <c r="AT69" s="2"/>
      <c r="AU69" s="2"/>
      <c r="AV69" s="2"/>
      <c r="AW69" s="2"/>
    </row>
    <row r="71" spans="1:49" x14ac:dyDescent="0.25">
      <c r="A71" s="1" t="s">
        <v>41</v>
      </c>
      <c r="B71" s="2" t="s">
        <v>38</v>
      </c>
      <c r="C71" s="2" t="s">
        <v>38</v>
      </c>
      <c r="D71" s="2" t="s">
        <v>38</v>
      </c>
      <c r="E71" s="2" t="s">
        <v>38</v>
      </c>
      <c r="F71" s="2" t="s">
        <v>38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38</v>
      </c>
      <c r="P71" s="2" t="s">
        <v>38</v>
      </c>
      <c r="Q71" s="2" t="s">
        <v>38</v>
      </c>
      <c r="R71" s="2" t="s">
        <v>72</v>
      </c>
      <c r="S71" s="2" t="s">
        <v>72</v>
      </c>
      <c r="T71" s="2" t="s">
        <v>72</v>
      </c>
      <c r="U71" s="2" t="s">
        <v>72</v>
      </c>
      <c r="V71" s="2" t="s">
        <v>72</v>
      </c>
      <c r="W71" s="2" t="s">
        <v>72</v>
      </c>
      <c r="X71" s="2" t="s">
        <v>72</v>
      </c>
      <c r="Y71" s="2" t="s">
        <v>72</v>
      </c>
      <c r="Z71" s="2" t="s">
        <v>72</v>
      </c>
      <c r="AA71" s="2" t="s">
        <v>72</v>
      </c>
      <c r="AB71" s="2" t="s">
        <v>72</v>
      </c>
      <c r="AC71" s="2" t="s">
        <v>72</v>
      </c>
      <c r="AD71" s="2" t="s">
        <v>72</v>
      </c>
      <c r="AE71" s="2" t="s">
        <v>72</v>
      </c>
      <c r="AF71" s="2" t="s">
        <v>72</v>
      </c>
      <c r="AG71" s="2" t="s">
        <v>72</v>
      </c>
      <c r="AH71" s="2" t="s">
        <v>87</v>
      </c>
      <c r="AI71" s="2" t="s">
        <v>87</v>
      </c>
      <c r="AJ71" s="2" t="s">
        <v>87</v>
      </c>
      <c r="AK71" s="2" t="s">
        <v>87</v>
      </c>
      <c r="AL71" s="2" t="s">
        <v>87</v>
      </c>
      <c r="AM71" s="2" t="s">
        <v>87</v>
      </c>
      <c r="AN71" s="2" t="s">
        <v>87</v>
      </c>
      <c r="AO71" s="2" t="s">
        <v>87</v>
      </c>
      <c r="AP71" s="2" t="s">
        <v>87</v>
      </c>
      <c r="AQ71" s="2" t="s">
        <v>87</v>
      </c>
      <c r="AR71" s="2" t="s">
        <v>87</v>
      </c>
      <c r="AS71" s="2" t="s">
        <v>87</v>
      </c>
      <c r="AT71" s="2" t="s">
        <v>87</v>
      </c>
      <c r="AU71" s="2" t="s">
        <v>87</v>
      </c>
      <c r="AV71" s="2" t="s">
        <v>87</v>
      </c>
      <c r="AW71" s="2" t="s">
        <v>87</v>
      </c>
    </row>
    <row r="72" spans="1:49" x14ac:dyDescent="0.25">
      <c r="A72" s="1" t="s">
        <v>42</v>
      </c>
      <c r="B72" s="2" t="s">
        <v>36</v>
      </c>
      <c r="C72" s="2" t="s">
        <v>37</v>
      </c>
      <c r="D72" s="2" t="s">
        <v>36</v>
      </c>
      <c r="E72" s="2" t="s">
        <v>37</v>
      </c>
      <c r="F72" s="2" t="s">
        <v>36</v>
      </c>
      <c r="G72" s="2" t="s">
        <v>37</v>
      </c>
      <c r="H72" s="2" t="s">
        <v>36</v>
      </c>
      <c r="I72" s="2" t="s">
        <v>37</v>
      </c>
      <c r="J72" s="2" t="s">
        <v>36</v>
      </c>
      <c r="K72" s="2" t="s">
        <v>37</v>
      </c>
      <c r="L72" s="2" t="s">
        <v>36</v>
      </c>
      <c r="M72" s="2" t="s">
        <v>37</v>
      </c>
      <c r="N72" s="2" t="s">
        <v>36</v>
      </c>
      <c r="O72" s="2" t="s">
        <v>37</v>
      </c>
      <c r="P72" s="2" t="s">
        <v>36</v>
      </c>
      <c r="Q72" s="2" t="s">
        <v>37</v>
      </c>
      <c r="R72" s="2" t="s">
        <v>36</v>
      </c>
      <c r="S72" s="2" t="s">
        <v>37</v>
      </c>
      <c r="T72" s="2" t="s">
        <v>36</v>
      </c>
      <c r="U72" s="2" t="s">
        <v>37</v>
      </c>
      <c r="V72" s="2" t="s">
        <v>36</v>
      </c>
      <c r="W72" s="2" t="s">
        <v>37</v>
      </c>
      <c r="X72" s="2" t="s">
        <v>36</v>
      </c>
      <c r="Y72" s="2" t="s">
        <v>37</v>
      </c>
      <c r="Z72" s="2" t="s">
        <v>36</v>
      </c>
      <c r="AA72" s="2" t="s">
        <v>37</v>
      </c>
      <c r="AB72" s="2" t="s">
        <v>36</v>
      </c>
      <c r="AC72" s="2" t="s">
        <v>37</v>
      </c>
      <c r="AD72" s="2" t="s">
        <v>36</v>
      </c>
      <c r="AE72" s="2" t="s">
        <v>37</v>
      </c>
      <c r="AF72" s="2" t="s">
        <v>36</v>
      </c>
      <c r="AG72" s="2" t="s">
        <v>37</v>
      </c>
      <c r="AH72" s="2" t="s">
        <v>36</v>
      </c>
      <c r="AI72" s="2" t="s">
        <v>37</v>
      </c>
      <c r="AJ72" s="2" t="s">
        <v>36</v>
      </c>
      <c r="AK72" s="2" t="s">
        <v>37</v>
      </c>
      <c r="AL72" s="2" t="s">
        <v>36</v>
      </c>
      <c r="AM72" s="2" t="s">
        <v>37</v>
      </c>
      <c r="AN72" s="2" t="s">
        <v>36</v>
      </c>
      <c r="AO72" s="2" t="s">
        <v>37</v>
      </c>
      <c r="AP72" s="2" t="s">
        <v>36</v>
      </c>
      <c r="AQ72" s="2" t="s">
        <v>37</v>
      </c>
      <c r="AR72" s="2" t="s">
        <v>36</v>
      </c>
      <c r="AS72" s="2" t="s">
        <v>37</v>
      </c>
      <c r="AT72" s="2" t="s">
        <v>36</v>
      </c>
      <c r="AU72" s="2" t="s">
        <v>37</v>
      </c>
      <c r="AV72" s="2" t="s">
        <v>36</v>
      </c>
      <c r="AW72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3BDA-6C7C-4827-8561-FE6C9D8E7C57}">
  <dimension ref="A1:E49"/>
  <sheetViews>
    <sheetView workbookViewId="0">
      <selection sqref="A1:E1"/>
    </sheetView>
  </sheetViews>
  <sheetFormatPr defaultRowHeight="15" x14ac:dyDescent="0.25"/>
  <cols>
    <col min="1" max="1" width="11.140625" bestFit="1" customWidth="1"/>
    <col min="2" max="2" width="11" bestFit="1" customWidth="1"/>
    <col min="4" max="4" width="11" bestFit="1" customWidth="1"/>
    <col min="5" max="5" width="10.28515625" bestFit="1" customWidth="1"/>
  </cols>
  <sheetData>
    <row r="1" spans="1:5" x14ac:dyDescent="0.25">
      <c r="A1" s="1" t="s">
        <v>95</v>
      </c>
      <c r="B1" t="s">
        <v>46</v>
      </c>
      <c r="D1" s="1" t="s">
        <v>41</v>
      </c>
      <c r="E1" s="1" t="s">
        <v>42</v>
      </c>
    </row>
    <row r="2" spans="1:5" x14ac:dyDescent="0.25">
      <c r="A2" s="2" t="s">
        <v>39</v>
      </c>
      <c r="B2">
        <v>374</v>
      </c>
      <c r="D2" s="2" t="s">
        <v>38</v>
      </c>
      <c r="E2" s="2" t="s">
        <v>36</v>
      </c>
    </row>
    <row r="3" spans="1:5" x14ac:dyDescent="0.25">
      <c r="A3" s="2" t="s">
        <v>40</v>
      </c>
      <c r="B3">
        <v>36</v>
      </c>
      <c r="D3" s="2" t="s">
        <v>38</v>
      </c>
      <c r="E3" s="2" t="s">
        <v>37</v>
      </c>
    </row>
    <row r="4" spans="1:5" x14ac:dyDescent="0.25">
      <c r="A4" s="2" t="s">
        <v>50</v>
      </c>
      <c r="B4">
        <v>88</v>
      </c>
      <c r="D4" s="2" t="s">
        <v>38</v>
      </c>
      <c r="E4" s="2" t="s">
        <v>36</v>
      </c>
    </row>
    <row r="5" spans="1:5" x14ac:dyDescent="0.25">
      <c r="A5" s="2" t="s">
        <v>51</v>
      </c>
      <c r="B5">
        <v>140</v>
      </c>
      <c r="D5" s="2" t="s">
        <v>38</v>
      </c>
      <c r="E5" s="2" t="s">
        <v>37</v>
      </c>
    </row>
    <row r="6" spans="1:5" x14ac:dyDescent="0.25">
      <c r="A6" s="2" t="s">
        <v>52</v>
      </c>
      <c r="B6">
        <v>102</v>
      </c>
      <c r="D6" s="2" t="s">
        <v>38</v>
      </c>
      <c r="E6" s="2" t="s">
        <v>36</v>
      </c>
    </row>
    <row r="7" spans="1:5" x14ac:dyDescent="0.25">
      <c r="A7" s="2" t="s">
        <v>53</v>
      </c>
      <c r="B7">
        <v>209</v>
      </c>
      <c r="D7" s="2" t="s">
        <v>38</v>
      </c>
      <c r="E7" s="2" t="s">
        <v>37</v>
      </c>
    </row>
    <row r="8" spans="1:5" x14ac:dyDescent="0.25">
      <c r="A8" s="2" t="s">
        <v>57</v>
      </c>
      <c r="B8">
        <v>36</v>
      </c>
      <c r="D8" s="2" t="s">
        <v>38</v>
      </c>
      <c r="E8" s="2" t="s">
        <v>36</v>
      </c>
    </row>
    <row r="9" spans="1:5" x14ac:dyDescent="0.25">
      <c r="A9" s="2" t="s">
        <v>58</v>
      </c>
      <c r="B9">
        <v>0</v>
      </c>
      <c r="D9" s="2" t="s">
        <v>38</v>
      </c>
      <c r="E9" s="2" t="s">
        <v>37</v>
      </c>
    </row>
    <row r="10" spans="1:5" x14ac:dyDescent="0.25">
      <c r="A10" s="2" t="s">
        <v>60</v>
      </c>
      <c r="B10">
        <v>41</v>
      </c>
      <c r="D10" s="2" t="s">
        <v>38</v>
      </c>
      <c r="E10" s="2" t="s">
        <v>36</v>
      </c>
    </row>
    <row r="11" spans="1:5" x14ac:dyDescent="0.25">
      <c r="A11" s="2" t="s">
        <v>61</v>
      </c>
      <c r="B11">
        <v>48</v>
      </c>
      <c r="D11" s="2" t="s">
        <v>38</v>
      </c>
      <c r="E11" s="2" t="s">
        <v>37</v>
      </c>
    </row>
    <row r="12" spans="1:5" x14ac:dyDescent="0.25">
      <c r="A12" s="2" t="s">
        <v>63</v>
      </c>
      <c r="B12">
        <v>33</v>
      </c>
      <c r="D12" s="2" t="s">
        <v>38</v>
      </c>
      <c r="E12" s="2" t="s">
        <v>36</v>
      </c>
    </row>
    <row r="13" spans="1:5" x14ac:dyDescent="0.25">
      <c r="A13" s="2" t="s">
        <v>64</v>
      </c>
      <c r="B13">
        <v>147</v>
      </c>
      <c r="D13" s="2" t="s">
        <v>38</v>
      </c>
      <c r="E13" s="2" t="s">
        <v>37</v>
      </c>
    </row>
    <row r="14" spans="1:5" x14ac:dyDescent="0.25">
      <c r="A14" s="2" t="s">
        <v>66</v>
      </c>
      <c r="B14">
        <v>26</v>
      </c>
      <c r="D14" s="2" t="s">
        <v>38</v>
      </c>
      <c r="E14" s="2" t="s">
        <v>36</v>
      </c>
    </row>
    <row r="15" spans="1:5" x14ac:dyDescent="0.25">
      <c r="A15" s="2" t="s">
        <v>67</v>
      </c>
      <c r="B15">
        <v>30</v>
      </c>
      <c r="D15" s="2" t="s">
        <v>38</v>
      </c>
      <c r="E15" s="2" t="s">
        <v>37</v>
      </c>
    </row>
    <row r="16" spans="1:5" x14ac:dyDescent="0.25">
      <c r="A16" s="2" t="s">
        <v>69</v>
      </c>
      <c r="B16">
        <v>51</v>
      </c>
      <c r="D16" s="2" t="s">
        <v>38</v>
      </c>
      <c r="E16" s="2" t="s">
        <v>36</v>
      </c>
    </row>
    <row r="17" spans="1:5" x14ac:dyDescent="0.25">
      <c r="A17" s="2" t="s">
        <v>70</v>
      </c>
      <c r="B17">
        <v>20</v>
      </c>
      <c r="D17" s="2" t="s">
        <v>38</v>
      </c>
      <c r="E17" s="2" t="s">
        <v>37</v>
      </c>
    </row>
    <row r="18" spans="1:5" x14ac:dyDescent="0.25">
      <c r="A18" s="2" t="s">
        <v>39</v>
      </c>
      <c r="B18">
        <v>10</v>
      </c>
      <c r="D18" s="2" t="s">
        <v>72</v>
      </c>
      <c r="E18" s="2" t="s">
        <v>36</v>
      </c>
    </row>
    <row r="19" spans="1:5" x14ac:dyDescent="0.25">
      <c r="A19" s="2" t="s">
        <v>40</v>
      </c>
      <c r="B19">
        <v>48</v>
      </c>
      <c r="D19" s="2" t="s">
        <v>72</v>
      </c>
      <c r="E19" s="2" t="s">
        <v>37</v>
      </c>
    </row>
    <row r="20" spans="1:5" x14ac:dyDescent="0.25">
      <c r="A20" s="2" t="s">
        <v>50</v>
      </c>
      <c r="B20">
        <v>47</v>
      </c>
      <c r="D20" s="2" t="s">
        <v>72</v>
      </c>
      <c r="E20" s="2" t="s">
        <v>36</v>
      </c>
    </row>
    <row r="21" spans="1:5" x14ac:dyDescent="0.25">
      <c r="A21" s="2" t="s">
        <v>51</v>
      </c>
      <c r="B21">
        <v>17</v>
      </c>
      <c r="D21" s="2" t="s">
        <v>72</v>
      </c>
      <c r="E21" s="2" t="s">
        <v>37</v>
      </c>
    </row>
    <row r="22" spans="1:5" x14ac:dyDescent="0.25">
      <c r="A22" s="2" t="s">
        <v>52</v>
      </c>
      <c r="B22">
        <v>8</v>
      </c>
      <c r="D22" s="2" t="s">
        <v>72</v>
      </c>
      <c r="E22" s="2" t="s">
        <v>36</v>
      </c>
    </row>
    <row r="23" spans="1:5" x14ac:dyDescent="0.25">
      <c r="A23" s="2" t="s">
        <v>53</v>
      </c>
      <c r="B23">
        <v>27</v>
      </c>
      <c r="D23" s="2" t="s">
        <v>72</v>
      </c>
      <c r="E23" s="2" t="s">
        <v>37</v>
      </c>
    </row>
    <row r="24" spans="1:5" x14ac:dyDescent="0.25">
      <c r="A24" s="2" t="s">
        <v>57</v>
      </c>
      <c r="B24">
        <v>18</v>
      </c>
      <c r="D24" s="2" t="s">
        <v>72</v>
      </c>
      <c r="E24" s="2" t="s">
        <v>36</v>
      </c>
    </row>
    <row r="25" spans="1:5" x14ac:dyDescent="0.25">
      <c r="A25" s="2" t="s">
        <v>58</v>
      </c>
      <c r="B25">
        <v>15</v>
      </c>
      <c r="D25" s="2" t="s">
        <v>72</v>
      </c>
      <c r="E25" s="2" t="s">
        <v>37</v>
      </c>
    </row>
    <row r="26" spans="1:5" x14ac:dyDescent="0.25">
      <c r="A26" s="2" t="s">
        <v>60</v>
      </c>
      <c r="B26">
        <v>69</v>
      </c>
      <c r="D26" s="2" t="s">
        <v>72</v>
      </c>
      <c r="E26" s="2" t="s">
        <v>36</v>
      </c>
    </row>
    <row r="27" spans="1:5" x14ac:dyDescent="0.25">
      <c r="A27" s="2" t="s">
        <v>61</v>
      </c>
      <c r="B27">
        <v>29</v>
      </c>
      <c r="D27" s="2" t="s">
        <v>72</v>
      </c>
      <c r="E27" s="2" t="s">
        <v>37</v>
      </c>
    </row>
    <row r="28" spans="1:5" x14ac:dyDescent="0.25">
      <c r="A28" s="2" t="s">
        <v>63</v>
      </c>
      <c r="B28">
        <v>20</v>
      </c>
      <c r="D28" s="2" t="s">
        <v>72</v>
      </c>
      <c r="E28" s="2" t="s">
        <v>36</v>
      </c>
    </row>
    <row r="29" spans="1:5" x14ac:dyDescent="0.25">
      <c r="A29" s="2" t="s">
        <v>64</v>
      </c>
      <c r="B29">
        <v>21</v>
      </c>
      <c r="D29" s="2" t="s">
        <v>72</v>
      </c>
      <c r="E29" s="2" t="s">
        <v>37</v>
      </c>
    </row>
    <row r="30" spans="1:5" x14ac:dyDescent="0.25">
      <c r="A30" s="2" t="s">
        <v>66</v>
      </c>
      <c r="B30">
        <v>93</v>
      </c>
      <c r="D30" s="2" t="s">
        <v>72</v>
      </c>
      <c r="E30" s="2" t="s">
        <v>36</v>
      </c>
    </row>
    <row r="31" spans="1:5" x14ac:dyDescent="0.25">
      <c r="A31" s="2" t="s">
        <v>67</v>
      </c>
      <c r="B31">
        <v>105</v>
      </c>
      <c r="D31" s="2" t="s">
        <v>72</v>
      </c>
      <c r="E31" s="2" t="s">
        <v>37</v>
      </c>
    </row>
    <row r="32" spans="1:5" x14ac:dyDescent="0.25">
      <c r="A32" s="2" t="s">
        <v>69</v>
      </c>
      <c r="B32">
        <v>102</v>
      </c>
      <c r="D32" s="2" t="s">
        <v>72</v>
      </c>
      <c r="E32" s="2" t="s">
        <v>36</v>
      </c>
    </row>
    <row r="33" spans="1:5" x14ac:dyDescent="0.25">
      <c r="A33" s="2" t="s">
        <v>70</v>
      </c>
      <c r="B33">
        <v>141</v>
      </c>
      <c r="D33" s="2" t="s">
        <v>72</v>
      </c>
      <c r="E33" s="2" t="s">
        <v>37</v>
      </c>
    </row>
    <row r="34" spans="1:5" x14ac:dyDescent="0.25">
      <c r="A34" s="2" t="s">
        <v>39</v>
      </c>
      <c r="B34">
        <v>6</v>
      </c>
      <c r="D34" s="2" t="s">
        <v>87</v>
      </c>
      <c r="E34" s="2" t="s">
        <v>36</v>
      </c>
    </row>
    <row r="35" spans="1:5" x14ac:dyDescent="0.25">
      <c r="A35" s="2" t="s">
        <v>40</v>
      </c>
      <c r="B35">
        <v>10</v>
      </c>
      <c r="D35" s="2" t="s">
        <v>87</v>
      </c>
      <c r="E35" s="2" t="s">
        <v>37</v>
      </c>
    </row>
    <row r="36" spans="1:5" x14ac:dyDescent="0.25">
      <c r="A36" s="2" t="s">
        <v>50</v>
      </c>
      <c r="B36">
        <v>0</v>
      </c>
      <c r="D36" s="2" t="s">
        <v>87</v>
      </c>
      <c r="E36" s="2" t="s">
        <v>36</v>
      </c>
    </row>
    <row r="37" spans="1:5" x14ac:dyDescent="0.25">
      <c r="A37" s="2" t="s">
        <v>51</v>
      </c>
      <c r="B37">
        <v>9</v>
      </c>
      <c r="D37" s="2" t="s">
        <v>87</v>
      </c>
      <c r="E37" s="2" t="s">
        <v>37</v>
      </c>
    </row>
    <row r="38" spans="1:5" x14ac:dyDescent="0.25">
      <c r="A38" s="2" t="s">
        <v>52</v>
      </c>
      <c r="B38">
        <v>4</v>
      </c>
      <c r="D38" s="2" t="s">
        <v>87</v>
      </c>
      <c r="E38" s="2" t="s">
        <v>36</v>
      </c>
    </row>
    <row r="39" spans="1:5" x14ac:dyDescent="0.25">
      <c r="A39" s="2" t="s">
        <v>53</v>
      </c>
      <c r="B39">
        <v>3</v>
      </c>
      <c r="D39" s="2" t="s">
        <v>87</v>
      </c>
      <c r="E39" s="2" t="s">
        <v>37</v>
      </c>
    </row>
    <row r="40" spans="1:5" x14ac:dyDescent="0.25">
      <c r="A40" s="2" t="s">
        <v>57</v>
      </c>
      <c r="B40">
        <v>3</v>
      </c>
      <c r="D40" s="2" t="s">
        <v>87</v>
      </c>
      <c r="E40" s="2" t="s">
        <v>36</v>
      </c>
    </row>
    <row r="41" spans="1:5" x14ac:dyDescent="0.25">
      <c r="A41" s="2" t="s">
        <v>58</v>
      </c>
      <c r="B41">
        <v>4</v>
      </c>
      <c r="D41" s="2" t="s">
        <v>87</v>
      </c>
      <c r="E41" s="2" t="s">
        <v>37</v>
      </c>
    </row>
    <row r="42" spans="1:5" x14ac:dyDescent="0.25">
      <c r="A42" s="2" t="s">
        <v>60</v>
      </c>
      <c r="B42">
        <v>5</v>
      </c>
      <c r="D42" s="2" t="s">
        <v>87</v>
      </c>
      <c r="E42" s="2" t="s">
        <v>36</v>
      </c>
    </row>
    <row r="43" spans="1:5" x14ac:dyDescent="0.25">
      <c r="A43" s="2" t="s">
        <v>61</v>
      </c>
      <c r="B43">
        <v>5</v>
      </c>
      <c r="D43" s="2" t="s">
        <v>87</v>
      </c>
      <c r="E43" s="2" t="s">
        <v>37</v>
      </c>
    </row>
    <row r="44" spans="1:5" x14ac:dyDescent="0.25">
      <c r="A44" s="2" t="s">
        <v>63</v>
      </c>
      <c r="B44">
        <v>7</v>
      </c>
      <c r="D44" s="2" t="s">
        <v>87</v>
      </c>
      <c r="E44" s="2" t="s">
        <v>36</v>
      </c>
    </row>
    <row r="45" spans="1:5" x14ac:dyDescent="0.25">
      <c r="A45" s="2" t="s">
        <v>64</v>
      </c>
      <c r="B45">
        <v>4</v>
      </c>
      <c r="D45" s="2" t="s">
        <v>87</v>
      </c>
      <c r="E45" s="2" t="s">
        <v>37</v>
      </c>
    </row>
    <row r="46" spans="1:5" x14ac:dyDescent="0.25">
      <c r="A46" s="2" t="s">
        <v>66</v>
      </c>
      <c r="B46">
        <v>1</v>
      </c>
      <c r="D46" s="2" t="s">
        <v>87</v>
      </c>
      <c r="E46" s="2" t="s">
        <v>36</v>
      </c>
    </row>
    <row r="47" spans="1:5" x14ac:dyDescent="0.25">
      <c r="A47" s="2" t="s">
        <v>67</v>
      </c>
      <c r="B47">
        <v>10</v>
      </c>
      <c r="D47" s="2" t="s">
        <v>87</v>
      </c>
      <c r="E47" s="2" t="s">
        <v>37</v>
      </c>
    </row>
    <row r="48" spans="1:5" x14ac:dyDescent="0.25">
      <c r="A48" s="2" t="s">
        <v>69</v>
      </c>
      <c r="B48">
        <v>14</v>
      </c>
      <c r="D48" s="2" t="s">
        <v>87</v>
      </c>
      <c r="E48" s="2" t="s">
        <v>36</v>
      </c>
    </row>
    <row r="49" spans="1:5" x14ac:dyDescent="0.25">
      <c r="A49" s="2" t="s">
        <v>70</v>
      </c>
      <c r="B49">
        <v>4</v>
      </c>
      <c r="D49" s="2" t="s">
        <v>87</v>
      </c>
      <c r="E4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Primer</vt:lpstr>
      <vt:lpstr>Primer_Abundance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Anita Arenas</cp:lastModifiedBy>
  <dcterms:created xsi:type="dcterms:W3CDTF">2023-02-05T23:30:37Z</dcterms:created>
  <dcterms:modified xsi:type="dcterms:W3CDTF">2026-07-23T17:41:03Z</dcterms:modified>
</cp:coreProperties>
</file>